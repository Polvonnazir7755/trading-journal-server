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vdolar" sheetId="1" state="visible" r:id="rId1"/>
    <sheet name="Statistika" sheetId="2" state="visible" r:id="rId2"/>
    <sheet name="Taqqoslash" sheetId="3" state="visible" r:id="rId3"/>
    <sheet name="Qo'llanm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0.00000"/>
    <numFmt numFmtId="166" formatCode="0.0%"/>
    <numFmt numFmtId="167" formatCode="0.000"/>
  </numFmts>
  <fonts count="10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0"/>
    </font>
    <font>
      <b val="1"/>
      <color rgb="00FFFFFF"/>
      <sz val="9"/>
    </font>
    <font>
      <b val="1"/>
      <color rgb="00FFFFFF"/>
    </font>
    <font>
      <b val="1"/>
    </font>
    <font>
      <i val="1"/>
      <color rgb="00666666"/>
      <sz val="9"/>
    </font>
    <font>
      <b val="1"/>
      <color rgb="00C00000"/>
    </font>
    <font>
      <sz val="10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9E6"/>
      </patternFill>
    </fill>
    <fill>
      <patternFill patternType="solid">
        <fgColor rgb="00EAF1F8"/>
      </patternFill>
    </fill>
    <fill>
      <patternFill patternType="solid">
        <fgColor rgb="007F7F7F"/>
      </patternFill>
    </fill>
    <fill>
      <patternFill patternType="solid">
        <fgColor rgb="00F2F2F2"/>
      </patternFill>
    </fill>
    <fill>
      <patternFill patternType="solid">
        <fgColor rgb="002E5C9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wrapText="1"/>
    </xf>
    <xf numFmtId="0" fontId="0" fillId="0" borderId="1" pivotButton="0" quotePrefix="0" xfId="0"/>
    <xf numFmtId="164" fontId="0" fillId="3" borderId="1" pivotButton="0" quotePrefix="0" xfId="0"/>
    <xf numFmtId="0" fontId="0" fillId="3" borderId="1" pivotButton="0" quotePrefix="0" xfId="0"/>
    <xf numFmtId="165" fontId="0" fillId="3" borderId="1" pivotButton="0" quotePrefix="0" xfId="0"/>
    <xf numFmtId="2" fontId="0" fillId="4" borderId="1" pivotButton="0" quotePrefix="0" xfId="0"/>
    <xf numFmtId="2" fontId="0" fillId="3" borderId="1" pivotButton="0" quotePrefix="0" xfId="0"/>
    <xf numFmtId="2" fontId="0" fillId="6" borderId="1" pivotButton="0" quotePrefix="0" xfId="0"/>
    <xf numFmtId="1" fontId="0" fillId="6" borderId="1" pivotButton="0" quotePrefix="0" xfId="0"/>
    <xf numFmtId="0" fontId="4" fillId="7" borderId="0" pivotButton="0" quotePrefix="0" xfId="0"/>
    <xf numFmtId="0" fontId="5" fillId="0" borderId="0" pivotButton="0" quotePrefix="0" xfId="0"/>
    <xf numFmtId="0" fontId="0" fillId="4" borderId="1" pivotButton="0" quotePrefix="0" xfId="0"/>
    <xf numFmtId="0" fontId="6" fillId="0" borderId="0" pivotButton="0" quotePrefix="0" xfId="0"/>
    <xf numFmtId="166" fontId="0" fillId="4" borderId="1" pivotButton="0" quotePrefix="0" xfId="0"/>
    <xf numFmtId="167" fontId="0" fillId="4" borderId="1" pivotButton="0" quotePrefix="0" xfId="0"/>
    <xf numFmtId="1" fontId="0" fillId="4" borderId="1" pivotButton="0" quotePrefix="0" xfId="0"/>
    <xf numFmtId="0" fontId="2" fillId="2" borderId="1" applyAlignment="1" pivotButton="0" quotePrefix="0" xfId="0">
      <alignment horizontal="center"/>
    </xf>
    <xf numFmtId="167" fontId="0" fillId="0" borderId="1" pivotButton="0" quotePrefix="0" xfId="0"/>
    <xf numFmtId="166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0" customWidth="1" min="4" max="4"/>
    <col width="7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0" customWidth="1" min="12" max="12"/>
    <col width="11" customWidth="1" min="13" max="13"/>
    <col width="34" customWidth="1" min="14" max="14"/>
    <col width="12" customWidth="1" min="15" max="15"/>
    <col width="12" customWidth="1" min="16" max="16"/>
    <col width="11" customWidth="1" min="17" max="17"/>
    <col width="13" customWidth="1" min="18" max="18"/>
  </cols>
  <sheetData>
    <row r="1">
      <c r="A1" s="1" t="inlineStr">
        <is>
          <t>1.618 LEGENDA — DEMO SAVDO JURNALI</t>
        </is>
      </c>
    </row>
    <row r="2" ht="28" customHeight="1">
      <c r="A2" s="2" t="inlineStr">
        <is>
          <t>№</t>
        </is>
      </c>
      <c r="B2" s="2" t="inlineStr">
        <is>
          <t>Sana</t>
        </is>
      </c>
      <c r="C2" s="2" t="inlineStr">
        <is>
          <t>Vaqt</t>
        </is>
      </c>
      <c r="D2" s="2" t="inlineStr">
        <is>
          <t>Aktiv</t>
        </is>
      </c>
      <c r="E2" s="2" t="inlineStr">
        <is>
          <t>TF</t>
        </is>
      </c>
      <c r="F2" s="2" t="inlineStr">
        <is>
          <t>Yo'nalish</t>
        </is>
      </c>
      <c r="G2" s="2" t="inlineStr">
        <is>
          <t>Kirish</t>
        </is>
      </c>
      <c r="H2" s="2" t="inlineStr">
        <is>
          <t>SL</t>
        </is>
      </c>
      <c r="I2" s="2" t="inlineStr">
        <is>
          <t>TP</t>
        </is>
      </c>
      <c r="J2" s="2" t="inlineStr">
        <is>
          <t>Chiqish</t>
        </is>
      </c>
      <c r="K2" s="2" t="inlineStr">
        <is>
          <t>Natija (R)</t>
        </is>
      </c>
      <c r="L2" s="2" t="inlineStr">
        <is>
          <t>Risk $</t>
        </is>
      </c>
      <c r="M2" s="2" t="inlineStr">
        <is>
          <t>Foyda $</t>
        </is>
      </c>
      <c r="N2" s="2" t="inlineStr">
        <is>
          <t>Izoh</t>
        </is>
      </c>
      <c r="O2" s="3" t="inlineStr">
        <is>
          <t>Balans $</t>
        </is>
      </c>
      <c r="P2" s="3" t="inlineStr">
        <is>
          <t>Cho'qqi $</t>
        </is>
      </c>
      <c r="Q2" s="3" t="inlineStr">
        <is>
          <t>DD $</t>
        </is>
      </c>
      <c r="R2" s="3" t="inlineStr">
        <is>
          <t>Zarar seriya</t>
        </is>
      </c>
    </row>
    <row r="3">
      <c r="A3" s="4">
        <f>IF(B3="","",COUNT($B$3:B3))</f>
        <v/>
      </c>
      <c r="B3" s="5" t="inlineStr">
        <is>
          <t>2026-09-08</t>
        </is>
      </c>
      <c r="C3" s="6" t="inlineStr">
        <is>
          <t>14:30</t>
        </is>
      </c>
      <c r="D3" s="6" t="inlineStr">
        <is>
          <t>EURUSD</t>
        </is>
      </c>
      <c r="E3" s="6" t="inlineStr">
        <is>
          <t>M30</t>
        </is>
      </c>
      <c r="F3" s="6" t="inlineStr">
        <is>
          <t>LONG</t>
        </is>
      </c>
      <c r="G3" s="7" t="n">
        <v>1.165</v>
      </c>
      <c r="H3" s="7" t="n">
        <v>1.162</v>
      </c>
      <c r="I3" s="7" t="n">
        <v>1.16985</v>
      </c>
      <c r="J3" s="7" t="n">
        <v>1.16985</v>
      </c>
      <c r="K3" s="8">
        <f>IF(OR(G3="",H3="",J3=""),"",IF(F3="LONG",(J3-G3)/(G3-H3),(G3-J3)/(H3-G3)))</f>
        <v/>
      </c>
      <c r="L3" s="9" t="n">
        <v>20</v>
      </c>
      <c r="M3" s="8">
        <f>IF(OR(K3="",L3=""),"",K3*L3)</f>
        <v/>
      </c>
      <c r="N3" s="6" t="inlineStr">
        <is>
          <t>toza TP, to'siq yo'q</t>
        </is>
      </c>
      <c r="O3" s="10">
        <f>IF(M3="","",IF(ROW()=3,M3,N(O2)+M3))</f>
        <v/>
      </c>
      <c r="P3" s="10">
        <f>IF(O3="","",IF(ROW()=3,MAX(0,O3),MAX(N(P2),O3)))</f>
        <v/>
      </c>
      <c r="Q3" s="10">
        <f>IF(O3="","",P3-O3)</f>
        <v/>
      </c>
      <c r="R3" s="11">
        <f>IF(K3="","",IF(K3&lt;0,IF(ROW()=3,1,N(R2)+1),0))</f>
        <v/>
      </c>
    </row>
    <row r="4">
      <c r="A4" s="4">
        <f>IF(B4="","",COUNT($B$3:B4))</f>
        <v/>
      </c>
      <c r="B4" s="5" t="n"/>
      <c r="C4" s="6" t="n"/>
      <c r="D4" s="6" t="n"/>
      <c r="E4" s="6" t="n"/>
      <c r="F4" s="6" t="n"/>
      <c r="G4" s="7" t="n"/>
      <c r="H4" s="7" t="n"/>
      <c r="I4" s="7" t="n"/>
      <c r="J4" s="7" t="n"/>
      <c r="K4" s="8">
        <f>IF(OR(G4="",H4="",J4=""),"",IF(F4="LONG",(J4-G4)/(G4-H4),(G4-J4)/(H4-G4)))</f>
        <v/>
      </c>
      <c r="L4" s="9" t="n"/>
      <c r="M4" s="8">
        <f>IF(OR(K4="",L4=""),"",K4*L4)</f>
        <v/>
      </c>
      <c r="N4" s="6" t="n"/>
      <c r="O4" s="10">
        <f>IF(M4="","",IF(ROW()=3,M4,N(O3)+M4))</f>
        <v/>
      </c>
      <c r="P4" s="10">
        <f>IF(O4="","",IF(ROW()=3,MAX(0,O4),MAX(N(P3),O4)))</f>
        <v/>
      </c>
      <c r="Q4" s="10">
        <f>IF(O4="","",P4-O4)</f>
        <v/>
      </c>
      <c r="R4" s="11">
        <f>IF(K4="","",IF(K4&lt;0,IF(ROW()=3,1,N(R3)+1),0))</f>
        <v/>
      </c>
    </row>
    <row r="5">
      <c r="A5" s="4">
        <f>IF(B5="","",COUNT($B$3:B5))</f>
        <v/>
      </c>
      <c r="B5" s="5" t="n"/>
      <c r="C5" s="6" t="n"/>
      <c r="D5" s="6" t="n"/>
      <c r="E5" s="6" t="n"/>
      <c r="F5" s="6" t="n"/>
      <c r="G5" s="7" t="n"/>
      <c r="H5" s="7" t="n"/>
      <c r="I5" s="7" t="n"/>
      <c r="J5" s="7" t="n"/>
      <c r="K5" s="8">
        <f>IF(OR(G5="",H5="",J5=""),"",IF(F5="LONG",(J5-G5)/(G5-H5),(G5-J5)/(H5-G5)))</f>
        <v/>
      </c>
      <c r="L5" s="9" t="n"/>
      <c r="M5" s="8">
        <f>IF(OR(K5="",L5=""),"",K5*L5)</f>
        <v/>
      </c>
      <c r="N5" s="6" t="n"/>
      <c r="O5" s="10">
        <f>IF(M5="","",IF(ROW()=3,M5,N(O4)+M5))</f>
        <v/>
      </c>
      <c r="P5" s="10">
        <f>IF(O5="","",IF(ROW()=3,MAX(0,O5),MAX(N(P4),O5)))</f>
        <v/>
      </c>
      <c r="Q5" s="10">
        <f>IF(O5="","",P5-O5)</f>
        <v/>
      </c>
      <c r="R5" s="11">
        <f>IF(K5="","",IF(K5&lt;0,IF(ROW()=3,1,N(R4)+1),0))</f>
        <v/>
      </c>
    </row>
    <row r="6">
      <c r="A6" s="4">
        <f>IF(B6="","",COUNT($B$3:B6))</f>
        <v/>
      </c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8">
        <f>IF(OR(G6="",H6="",J6=""),"",IF(F6="LONG",(J6-G6)/(G6-H6),(G6-J6)/(H6-G6)))</f>
        <v/>
      </c>
      <c r="L6" s="9" t="n"/>
      <c r="M6" s="8">
        <f>IF(OR(K6="",L6=""),"",K6*L6)</f>
        <v/>
      </c>
      <c r="N6" s="6" t="n"/>
      <c r="O6" s="10">
        <f>IF(M6="","",IF(ROW()=3,M6,N(O5)+M6))</f>
        <v/>
      </c>
      <c r="P6" s="10">
        <f>IF(O6="","",IF(ROW()=3,MAX(0,O6),MAX(N(P5),O6)))</f>
        <v/>
      </c>
      <c r="Q6" s="10">
        <f>IF(O6="","",P6-O6)</f>
        <v/>
      </c>
      <c r="R6" s="11">
        <f>IF(K6="","",IF(K6&lt;0,IF(ROW()=3,1,N(R5)+1),0))</f>
        <v/>
      </c>
    </row>
    <row r="7">
      <c r="A7" s="4">
        <f>IF(B7="","",COUNT($B$3:B7))</f>
        <v/>
      </c>
      <c r="B7" s="5" t="n"/>
      <c r="C7" s="6" t="n"/>
      <c r="D7" s="6" t="n"/>
      <c r="E7" s="6" t="n"/>
      <c r="F7" s="6" t="n"/>
      <c r="G7" s="7" t="n"/>
      <c r="H7" s="7" t="n"/>
      <c r="I7" s="7" t="n"/>
      <c r="J7" s="7" t="n"/>
      <c r="K7" s="8">
        <f>IF(OR(G7="",H7="",J7=""),"",IF(F7="LONG",(J7-G7)/(G7-H7),(G7-J7)/(H7-G7)))</f>
        <v/>
      </c>
      <c r="L7" s="9" t="n"/>
      <c r="M7" s="8">
        <f>IF(OR(K7="",L7=""),"",K7*L7)</f>
        <v/>
      </c>
      <c r="N7" s="6" t="n"/>
      <c r="O7" s="10">
        <f>IF(M7="","",IF(ROW()=3,M7,N(O6)+M7))</f>
        <v/>
      </c>
      <c r="P7" s="10">
        <f>IF(O7="","",IF(ROW()=3,MAX(0,O7),MAX(N(P6),O7)))</f>
        <v/>
      </c>
      <c r="Q7" s="10">
        <f>IF(O7="","",P7-O7)</f>
        <v/>
      </c>
      <c r="R7" s="11">
        <f>IF(K7="","",IF(K7&lt;0,IF(ROW()=3,1,N(R6)+1),0))</f>
        <v/>
      </c>
    </row>
    <row r="8">
      <c r="A8" s="4">
        <f>IF(B8="","",COUNT($B$3:B8))</f>
        <v/>
      </c>
      <c r="B8" s="5" t="n"/>
      <c r="C8" s="6" t="n"/>
      <c r="D8" s="6" t="n"/>
      <c r="E8" s="6" t="n"/>
      <c r="F8" s="6" t="n"/>
      <c r="G8" s="7" t="n"/>
      <c r="H8" s="7" t="n"/>
      <c r="I8" s="7" t="n"/>
      <c r="J8" s="7" t="n"/>
      <c r="K8" s="8">
        <f>IF(OR(G8="",H8="",J8=""),"",IF(F8="LONG",(J8-G8)/(G8-H8),(G8-J8)/(H8-G8)))</f>
        <v/>
      </c>
      <c r="L8" s="9" t="n"/>
      <c r="M8" s="8">
        <f>IF(OR(K8="",L8=""),"",K8*L8)</f>
        <v/>
      </c>
      <c r="N8" s="6" t="n"/>
      <c r="O8" s="10">
        <f>IF(M8="","",IF(ROW()=3,M8,N(O7)+M8))</f>
        <v/>
      </c>
      <c r="P8" s="10">
        <f>IF(O8="","",IF(ROW()=3,MAX(0,O8),MAX(N(P7),O8)))</f>
        <v/>
      </c>
      <c r="Q8" s="10">
        <f>IF(O8="","",P8-O8)</f>
        <v/>
      </c>
      <c r="R8" s="11">
        <f>IF(K8="","",IF(K8&lt;0,IF(ROW()=3,1,N(R7)+1),0))</f>
        <v/>
      </c>
    </row>
    <row r="9">
      <c r="A9" s="4">
        <f>IF(B9="","",COUNT($B$3:B9))</f>
        <v/>
      </c>
      <c r="B9" s="5" t="n"/>
      <c r="C9" s="6" t="n"/>
      <c r="D9" s="6" t="n"/>
      <c r="E9" s="6" t="n"/>
      <c r="F9" s="6" t="n"/>
      <c r="G9" s="7" t="n"/>
      <c r="H9" s="7" t="n"/>
      <c r="I9" s="7" t="n"/>
      <c r="J9" s="7" t="n"/>
      <c r="K9" s="8">
        <f>IF(OR(G9="",H9="",J9=""),"",IF(F9="LONG",(J9-G9)/(G9-H9),(G9-J9)/(H9-G9)))</f>
        <v/>
      </c>
      <c r="L9" s="9" t="n"/>
      <c r="M9" s="8">
        <f>IF(OR(K9="",L9=""),"",K9*L9)</f>
        <v/>
      </c>
      <c r="N9" s="6" t="n"/>
      <c r="O9" s="10">
        <f>IF(M9="","",IF(ROW()=3,M9,N(O8)+M9))</f>
        <v/>
      </c>
      <c r="P9" s="10">
        <f>IF(O9="","",IF(ROW()=3,MAX(0,O9),MAX(N(P8),O9)))</f>
        <v/>
      </c>
      <c r="Q9" s="10">
        <f>IF(O9="","",P9-O9)</f>
        <v/>
      </c>
      <c r="R9" s="11">
        <f>IF(K9="","",IF(K9&lt;0,IF(ROW()=3,1,N(R8)+1),0))</f>
        <v/>
      </c>
    </row>
    <row r="10">
      <c r="A10" s="4">
        <f>IF(B10="","",COUNT($B$3:B10))</f>
        <v/>
      </c>
      <c r="B10" s="5" t="n"/>
      <c r="C10" s="6" t="n"/>
      <c r="D10" s="6" t="n"/>
      <c r="E10" s="6" t="n"/>
      <c r="F10" s="6" t="n"/>
      <c r="G10" s="7" t="n"/>
      <c r="H10" s="7" t="n"/>
      <c r="I10" s="7" t="n"/>
      <c r="J10" s="7" t="n"/>
      <c r="K10" s="8">
        <f>IF(OR(G10="",H10="",J10=""),"",IF(F10="LONG",(J10-G10)/(G10-H10),(G10-J10)/(H10-G10)))</f>
        <v/>
      </c>
      <c r="L10" s="9" t="n"/>
      <c r="M10" s="8">
        <f>IF(OR(K10="",L10=""),"",K10*L10)</f>
        <v/>
      </c>
      <c r="N10" s="6" t="n"/>
      <c r="O10" s="10">
        <f>IF(M10="","",IF(ROW()=3,M10,N(O9)+M10))</f>
        <v/>
      </c>
      <c r="P10" s="10">
        <f>IF(O10="","",IF(ROW()=3,MAX(0,O10),MAX(N(P9),O10)))</f>
        <v/>
      </c>
      <c r="Q10" s="10">
        <f>IF(O10="","",P10-O10)</f>
        <v/>
      </c>
      <c r="R10" s="11">
        <f>IF(K10="","",IF(K10&lt;0,IF(ROW()=3,1,N(R9)+1),0))</f>
        <v/>
      </c>
    </row>
    <row r="11">
      <c r="A11" s="4">
        <f>IF(B11="","",COUNT($B$3:B11))</f>
        <v/>
      </c>
      <c r="B11" s="5" t="n"/>
      <c r="C11" s="6" t="n"/>
      <c r="D11" s="6" t="n"/>
      <c r="E11" s="6" t="n"/>
      <c r="F11" s="6" t="n"/>
      <c r="G11" s="7" t="n"/>
      <c r="H11" s="7" t="n"/>
      <c r="I11" s="7" t="n"/>
      <c r="J11" s="7" t="n"/>
      <c r="K11" s="8">
        <f>IF(OR(G11="",H11="",J11=""),"",IF(F11="LONG",(J11-G11)/(G11-H11),(G11-J11)/(H11-G11)))</f>
        <v/>
      </c>
      <c r="L11" s="9" t="n"/>
      <c r="M11" s="8">
        <f>IF(OR(K11="",L11=""),"",K11*L11)</f>
        <v/>
      </c>
      <c r="N11" s="6" t="n"/>
      <c r="O11" s="10">
        <f>IF(M11="","",IF(ROW()=3,M11,N(O10)+M11))</f>
        <v/>
      </c>
      <c r="P11" s="10">
        <f>IF(O11="","",IF(ROW()=3,MAX(0,O11),MAX(N(P10),O11)))</f>
        <v/>
      </c>
      <c r="Q11" s="10">
        <f>IF(O11="","",P11-O11)</f>
        <v/>
      </c>
      <c r="R11" s="11">
        <f>IF(K11="","",IF(K11&lt;0,IF(ROW()=3,1,N(R10)+1),0))</f>
        <v/>
      </c>
    </row>
    <row r="12">
      <c r="A12" s="4">
        <f>IF(B12="","",COUNT($B$3:B12))</f>
        <v/>
      </c>
      <c r="B12" s="5" t="n"/>
      <c r="C12" s="6" t="n"/>
      <c r="D12" s="6" t="n"/>
      <c r="E12" s="6" t="n"/>
      <c r="F12" s="6" t="n"/>
      <c r="G12" s="7" t="n"/>
      <c r="H12" s="7" t="n"/>
      <c r="I12" s="7" t="n"/>
      <c r="J12" s="7" t="n"/>
      <c r="K12" s="8">
        <f>IF(OR(G12="",H12="",J12=""),"",IF(F12="LONG",(J12-G12)/(G12-H12),(G12-J12)/(H12-G12)))</f>
        <v/>
      </c>
      <c r="L12" s="9" t="n"/>
      <c r="M12" s="8">
        <f>IF(OR(K12="",L12=""),"",K12*L12)</f>
        <v/>
      </c>
      <c r="N12" s="6" t="n"/>
      <c r="O12" s="10">
        <f>IF(M12="","",IF(ROW()=3,M12,N(O11)+M12))</f>
        <v/>
      </c>
      <c r="P12" s="10">
        <f>IF(O12="","",IF(ROW()=3,MAX(0,O12),MAX(N(P11),O12)))</f>
        <v/>
      </c>
      <c r="Q12" s="10">
        <f>IF(O12="","",P12-O12)</f>
        <v/>
      </c>
      <c r="R12" s="11">
        <f>IF(K12="","",IF(K12&lt;0,IF(ROW()=3,1,N(R11)+1),0))</f>
        <v/>
      </c>
    </row>
    <row r="13">
      <c r="A13" s="4">
        <f>IF(B13="","",COUNT($B$3:B13))</f>
        <v/>
      </c>
      <c r="B13" s="5" t="n"/>
      <c r="C13" s="6" t="n"/>
      <c r="D13" s="6" t="n"/>
      <c r="E13" s="6" t="n"/>
      <c r="F13" s="6" t="n"/>
      <c r="G13" s="7" t="n"/>
      <c r="H13" s="7" t="n"/>
      <c r="I13" s="7" t="n"/>
      <c r="J13" s="7" t="n"/>
      <c r="K13" s="8">
        <f>IF(OR(G13="",H13="",J13=""),"",IF(F13="LONG",(J13-G13)/(G13-H13),(G13-J13)/(H13-G13)))</f>
        <v/>
      </c>
      <c r="L13" s="9" t="n"/>
      <c r="M13" s="8">
        <f>IF(OR(K13="",L13=""),"",K13*L13)</f>
        <v/>
      </c>
      <c r="N13" s="6" t="n"/>
      <c r="O13" s="10">
        <f>IF(M13="","",IF(ROW()=3,M13,N(O12)+M13))</f>
        <v/>
      </c>
      <c r="P13" s="10">
        <f>IF(O13="","",IF(ROW()=3,MAX(0,O13),MAX(N(P12),O13)))</f>
        <v/>
      </c>
      <c r="Q13" s="10">
        <f>IF(O13="","",P13-O13)</f>
        <v/>
      </c>
      <c r="R13" s="11">
        <f>IF(K13="","",IF(K13&lt;0,IF(ROW()=3,1,N(R12)+1),0))</f>
        <v/>
      </c>
    </row>
    <row r="14">
      <c r="A14" s="4">
        <f>IF(B14="","",COUNT($B$3:B14))</f>
        <v/>
      </c>
      <c r="B14" s="5" t="n"/>
      <c r="C14" s="6" t="n"/>
      <c r="D14" s="6" t="n"/>
      <c r="E14" s="6" t="n"/>
      <c r="F14" s="6" t="n"/>
      <c r="G14" s="7" t="n"/>
      <c r="H14" s="7" t="n"/>
      <c r="I14" s="7" t="n"/>
      <c r="J14" s="7" t="n"/>
      <c r="K14" s="8">
        <f>IF(OR(G14="",H14="",J14=""),"",IF(F14="LONG",(J14-G14)/(G14-H14),(G14-J14)/(H14-G14)))</f>
        <v/>
      </c>
      <c r="L14" s="9" t="n"/>
      <c r="M14" s="8">
        <f>IF(OR(K14="",L14=""),"",K14*L14)</f>
        <v/>
      </c>
      <c r="N14" s="6" t="n"/>
      <c r="O14" s="10">
        <f>IF(M14="","",IF(ROW()=3,M14,N(O13)+M14))</f>
        <v/>
      </c>
      <c r="P14" s="10">
        <f>IF(O14="","",IF(ROW()=3,MAX(0,O14),MAX(N(P13),O14)))</f>
        <v/>
      </c>
      <c r="Q14" s="10">
        <f>IF(O14="","",P14-O14)</f>
        <v/>
      </c>
      <c r="R14" s="11">
        <f>IF(K14="","",IF(K14&lt;0,IF(ROW()=3,1,N(R13)+1),0))</f>
        <v/>
      </c>
    </row>
    <row r="15">
      <c r="A15" s="4">
        <f>IF(B15="","",COUNT($B$3:B15))</f>
        <v/>
      </c>
      <c r="B15" s="5" t="n"/>
      <c r="C15" s="6" t="n"/>
      <c r="D15" s="6" t="n"/>
      <c r="E15" s="6" t="n"/>
      <c r="F15" s="6" t="n"/>
      <c r="G15" s="7" t="n"/>
      <c r="H15" s="7" t="n"/>
      <c r="I15" s="7" t="n"/>
      <c r="J15" s="7" t="n"/>
      <c r="K15" s="8">
        <f>IF(OR(G15="",H15="",J15=""),"",IF(F15="LONG",(J15-G15)/(G15-H15),(G15-J15)/(H15-G15)))</f>
        <v/>
      </c>
      <c r="L15" s="9" t="n"/>
      <c r="M15" s="8">
        <f>IF(OR(K15="",L15=""),"",K15*L15)</f>
        <v/>
      </c>
      <c r="N15" s="6" t="n"/>
      <c r="O15" s="10">
        <f>IF(M15="","",IF(ROW()=3,M15,N(O14)+M15))</f>
        <v/>
      </c>
      <c r="P15" s="10">
        <f>IF(O15="","",IF(ROW()=3,MAX(0,O15),MAX(N(P14),O15)))</f>
        <v/>
      </c>
      <c r="Q15" s="10">
        <f>IF(O15="","",P15-O15)</f>
        <v/>
      </c>
      <c r="R15" s="11">
        <f>IF(K15="","",IF(K15&lt;0,IF(ROW()=3,1,N(R14)+1),0))</f>
        <v/>
      </c>
    </row>
    <row r="16">
      <c r="A16" s="4">
        <f>IF(B16="","",COUNT($B$3:B16))</f>
        <v/>
      </c>
      <c r="B16" s="5" t="n"/>
      <c r="C16" s="6" t="n"/>
      <c r="D16" s="6" t="n"/>
      <c r="E16" s="6" t="n"/>
      <c r="F16" s="6" t="n"/>
      <c r="G16" s="7" t="n"/>
      <c r="H16" s="7" t="n"/>
      <c r="I16" s="7" t="n"/>
      <c r="J16" s="7" t="n"/>
      <c r="K16" s="8">
        <f>IF(OR(G16="",H16="",J16=""),"",IF(F16="LONG",(J16-G16)/(G16-H16),(G16-J16)/(H16-G16)))</f>
        <v/>
      </c>
      <c r="L16" s="9" t="n"/>
      <c r="M16" s="8">
        <f>IF(OR(K16="",L16=""),"",K16*L16)</f>
        <v/>
      </c>
      <c r="N16" s="6" t="n"/>
      <c r="O16" s="10">
        <f>IF(M16="","",IF(ROW()=3,M16,N(O15)+M16))</f>
        <v/>
      </c>
      <c r="P16" s="10">
        <f>IF(O16="","",IF(ROW()=3,MAX(0,O16),MAX(N(P15),O16)))</f>
        <v/>
      </c>
      <c r="Q16" s="10">
        <f>IF(O16="","",P16-O16)</f>
        <v/>
      </c>
      <c r="R16" s="11">
        <f>IF(K16="","",IF(K16&lt;0,IF(ROW()=3,1,N(R15)+1),0))</f>
        <v/>
      </c>
    </row>
    <row r="17">
      <c r="A17" s="4">
        <f>IF(B17="","",COUNT($B$3:B17))</f>
        <v/>
      </c>
      <c r="B17" s="5" t="n"/>
      <c r="C17" s="6" t="n"/>
      <c r="D17" s="6" t="n"/>
      <c r="E17" s="6" t="n"/>
      <c r="F17" s="6" t="n"/>
      <c r="G17" s="7" t="n"/>
      <c r="H17" s="7" t="n"/>
      <c r="I17" s="7" t="n"/>
      <c r="J17" s="7" t="n"/>
      <c r="K17" s="8">
        <f>IF(OR(G17="",H17="",J17=""),"",IF(F17="LONG",(J17-G17)/(G17-H17),(G17-J17)/(H17-G17)))</f>
        <v/>
      </c>
      <c r="L17" s="9" t="n"/>
      <c r="M17" s="8">
        <f>IF(OR(K17="",L17=""),"",K17*L17)</f>
        <v/>
      </c>
      <c r="N17" s="6" t="n"/>
      <c r="O17" s="10">
        <f>IF(M17="","",IF(ROW()=3,M17,N(O16)+M17))</f>
        <v/>
      </c>
      <c r="P17" s="10">
        <f>IF(O17="","",IF(ROW()=3,MAX(0,O17),MAX(N(P16),O17)))</f>
        <v/>
      </c>
      <c r="Q17" s="10">
        <f>IF(O17="","",P17-O17)</f>
        <v/>
      </c>
      <c r="R17" s="11">
        <f>IF(K17="","",IF(K17&lt;0,IF(ROW()=3,1,N(R16)+1),0))</f>
        <v/>
      </c>
    </row>
    <row r="18">
      <c r="A18" s="4">
        <f>IF(B18="","",COUNT($B$3:B18))</f>
        <v/>
      </c>
      <c r="B18" s="5" t="n"/>
      <c r="C18" s="6" t="n"/>
      <c r="D18" s="6" t="n"/>
      <c r="E18" s="6" t="n"/>
      <c r="F18" s="6" t="n"/>
      <c r="G18" s="7" t="n"/>
      <c r="H18" s="7" t="n"/>
      <c r="I18" s="7" t="n"/>
      <c r="J18" s="7" t="n"/>
      <c r="K18" s="8">
        <f>IF(OR(G18="",H18="",J18=""),"",IF(F18="LONG",(J18-G18)/(G18-H18),(G18-J18)/(H18-G18)))</f>
        <v/>
      </c>
      <c r="L18" s="9" t="n"/>
      <c r="M18" s="8">
        <f>IF(OR(K18="",L18=""),"",K18*L18)</f>
        <v/>
      </c>
      <c r="N18" s="6" t="n"/>
      <c r="O18" s="10">
        <f>IF(M18="","",IF(ROW()=3,M18,N(O17)+M18))</f>
        <v/>
      </c>
      <c r="P18" s="10">
        <f>IF(O18="","",IF(ROW()=3,MAX(0,O18),MAX(N(P17),O18)))</f>
        <v/>
      </c>
      <c r="Q18" s="10">
        <f>IF(O18="","",P18-O18)</f>
        <v/>
      </c>
      <c r="R18" s="11">
        <f>IF(K18="","",IF(K18&lt;0,IF(ROW()=3,1,N(R17)+1),0))</f>
        <v/>
      </c>
    </row>
    <row r="19">
      <c r="A19" s="4">
        <f>IF(B19="","",COUNT($B$3:B19))</f>
        <v/>
      </c>
      <c r="B19" s="5" t="n"/>
      <c r="C19" s="6" t="n"/>
      <c r="D19" s="6" t="n"/>
      <c r="E19" s="6" t="n"/>
      <c r="F19" s="6" t="n"/>
      <c r="G19" s="7" t="n"/>
      <c r="H19" s="7" t="n"/>
      <c r="I19" s="7" t="n"/>
      <c r="J19" s="7" t="n"/>
      <c r="K19" s="8">
        <f>IF(OR(G19="",H19="",J19=""),"",IF(F19="LONG",(J19-G19)/(G19-H19),(G19-J19)/(H19-G19)))</f>
        <v/>
      </c>
      <c r="L19" s="9" t="n"/>
      <c r="M19" s="8">
        <f>IF(OR(K19="",L19=""),"",K19*L19)</f>
        <v/>
      </c>
      <c r="N19" s="6" t="n"/>
      <c r="O19" s="10">
        <f>IF(M19="","",IF(ROW()=3,M19,N(O18)+M19))</f>
        <v/>
      </c>
      <c r="P19" s="10">
        <f>IF(O19="","",IF(ROW()=3,MAX(0,O19),MAX(N(P18),O19)))</f>
        <v/>
      </c>
      <c r="Q19" s="10">
        <f>IF(O19="","",P19-O19)</f>
        <v/>
      </c>
      <c r="R19" s="11">
        <f>IF(K19="","",IF(K19&lt;0,IF(ROW()=3,1,N(R18)+1),0))</f>
        <v/>
      </c>
    </row>
    <row r="20">
      <c r="A20" s="4">
        <f>IF(B20="","",COUNT($B$3:B20))</f>
        <v/>
      </c>
      <c r="B20" s="5" t="n"/>
      <c r="C20" s="6" t="n"/>
      <c r="D20" s="6" t="n"/>
      <c r="E20" s="6" t="n"/>
      <c r="F20" s="6" t="n"/>
      <c r="G20" s="7" t="n"/>
      <c r="H20" s="7" t="n"/>
      <c r="I20" s="7" t="n"/>
      <c r="J20" s="7" t="n"/>
      <c r="K20" s="8">
        <f>IF(OR(G20="",H20="",J20=""),"",IF(F20="LONG",(J20-G20)/(G20-H20),(G20-J20)/(H20-G20)))</f>
        <v/>
      </c>
      <c r="L20" s="9" t="n"/>
      <c r="M20" s="8">
        <f>IF(OR(K20="",L20=""),"",K20*L20)</f>
        <v/>
      </c>
      <c r="N20" s="6" t="n"/>
      <c r="O20" s="10">
        <f>IF(M20="","",IF(ROW()=3,M20,N(O19)+M20))</f>
        <v/>
      </c>
      <c r="P20" s="10">
        <f>IF(O20="","",IF(ROW()=3,MAX(0,O20),MAX(N(P19),O20)))</f>
        <v/>
      </c>
      <c r="Q20" s="10">
        <f>IF(O20="","",P20-O20)</f>
        <v/>
      </c>
      <c r="R20" s="11">
        <f>IF(K20="","",IF(K20&lt;0,IF(ROW()=3,1,N(R19)+1),0))</f>
        <v/>
      </c>
    </row>
    <row r="21">
      <c r="A21" s="4">
        <f>IF(B21="","",COUNT($B$3:B21))</f>
        <v/>
      </c>
      <c r="B21" s="5" t="n"/>
      <c r="C21" s="6" t="n"/>
      <c r="D21" s="6" t="n"/>
      <c r="E21" s="6" t="n"/>
      <c r="F21" s="6" t="n"/>
      <c r="G21" s="7" t="n"/>
      <c r="H21" s="7" t="n"/>
      <c r="I21" s="7" t="n"/>
      <c r="J21" s="7" t="n"/>
      <c r="K21" s="8">
        <f>IF(OR(G21="",H21="",J21=""),"",IF(F21="LONG",(J21-G21)/(G21-H21),(G21-J21)/(H21-G21)))</f>
        <v/>
      </c>
      <c r="L21" s="9" t="n"/>
      <c r="M21" s="8">
        <f>IF(OR(K21="",L21=""),"",K21*L21)</f>
        <v/>
      </c>
      <c r="N21" s="6" t="n"/>
      <c r="O21" s="10">
        <f>IF(M21="","",IF(ROW()=3,M21,N(O20)+M21))</f>
        <v/>
      </c>
      <c r="P21" s="10">
        <f>IF(O21="","",IF(ROW()=3,MAX(0,O21),MAX(N(P20),O21)))</f>
        <v/>
      </c>
      <c r="Q21" s="10">
        <f>IF(O21="","",P21-O21)</f>
        <v/>
      </c>
      <c r="R21" s="11">
        <f>IF(K21="","",IF(K21&lt;0,IF(ROW()=3,1,N(R20)+1),0))</f>
        <v/>
      </c>
    </row>
    <row r="22">
      <c r="A22" s="4">
        <f>IF(B22="","",COUNT($B$3:B22))</f>
        <v/>
      </c>
      <c r="B22" s="5" t="n"/>
      <c r="C22" s="6" t="n"/>
      <c r="D22" s="6" t="n"/>
      <c r="E22" s="6" t="n"/>
      <c r="F22" s="6" t="n"/>
      <c r="G22" s="7" t="n"/>
      <c r="H22" s="7" t="n"/>
      <c r="I22" s="7" t="n"/>
      <c r="J22" s="7" t="n"/>
      <c r="K22" s="8">
        <f>IF(OR(G22="",H22="",J22=""),"",IF(F22="LONG",(J22-G22)/(G22-H22),(G22-J22)/(H22-G22)))</f>
        <v/>
      </c>
      <c r="L22" s="9" t="n"/>
      <c r="M22" s="8">
        <f>IF(OR(K22="",L22=""),"",K22*L22)</f>
        <v/>
      </c>
      <c r="N22" s="6" t="n"/>
      <c r="O22" s="10">
        <f>IF(M22="","",IF(ROW()=3,M22,N(O21)+M22))</f>
        <v/>
      </c>
      <c r="P22" s="10">
        <f>IF(O22="","",IF(ROW()=3,MAX(0,O22),MAX(N(P21),O22)))</f>
        <v/>
      </c>
      <c r="Q22" s="10">
        <f>IF(O22="","",P22-O22)</f>
        <v/>
      </c>
      <c r="R22" s="11">
        <f>IF(K22="","",IF(K22&lt;0,IF(ROW()=3,1,N(R21)+1),0))</f>
        <v/>
      </c>
    </row>
    <row r="23">
      <c r="A23" s="4">
        <f>IF(B23="","",COUNT($B$3:B23))</f>
        <v/>
      </c>
      <c r="B23" s="5" t="n"/>
      <c r="C23" s="6" t="n"/>
      <c r="D23" s="6" t="n"/>
      <c r="E23" s="6" t="n"/>
      <c r="F23" s="6" t="n"/>
      <c r="G23" s="7" t="n"/>
      <c r="H23" s="7" t="n"/>
      <c r="I23" s="7" t="n"/>
      <c r="J23" s="7" t="n"/>
      <c r="K23" s="8">
        <f>IF(OR(G23="",H23="",J23=""),"",IF(F23="LONG",(J23-G23)/(G23-H23),(G23-J23)/(H23-G23)))</f>
        <v/>
      </c>
      <c r="L23" s="9" t="n"/>
      <c r="M23" s="8">
        <f>IF(OR(K23="",L23=""),"",K23*L23)</f>
        <v/>
      </c>
      <c r="N23" s="6" t="n"/>
      <c r="O23" s="10">
        <f>IF(M23="","",IF(ROW()=3,M23,N(O22)+M23))</f>
        <v/>
      </c>
      <c r="P23" s="10">
        <f>IF(O23="","",IF(ROW()=3,MAX(0,O23),MAX(N(P22),O23)))</f>
        <v/>
      </c>
      <c r="Q23" s="10">
        <f>IF(O23="","",P23-O23)</f>
        <v/>
      </c>
      <c r="R23" s="11">
        <f>IF(K23="","",IF(K23&lt;0,IF(ROW()=3,1,N(R22)+1),0))</f>
        <v/>
      </c>
    </row>
    <row r="24">
      <c r="A24" s="4">
        <f>IF(B24="","",COUNT($B$3:B24))</f>
        <v/>
      </c>
      <c r="B24" s="5" t="n"/>
      <c r="C24" s="6" t="n"/>
      <c r="D24" s="6" t="n"/>
      <c r="E24" s="6" t="n"/>
      <c r="F24" s="6" t="n"/>
      <c r="G24" s="7" t="n"/>
      <c r="H24" s="7" t="n"/>
      <c r="I24" s="7" t="n"/>
      <c r="J24" s="7" t="n"/>
      <c r="K24" s="8">
        <f>IF(OR(G24="",H24="",J24=""),"",IF(F24="LONG",(J24-G24)/(G24-H24),(G24-J24)/(H24-G24)))</f>
        <v/>
      </c>
      <c r="L24" s="9" t="n"/>
      <c r="M24" s="8">
        <f>IF(OR(K24="",L24=""),"",K24*L24)</f>
        <v/>
      </c>
      <c r="N24" s="6" t="n"/>
      <c r="O24" s="10">
        <f>IF(M24="","",IF(ROW()=3,M24,N(O23)+M24))</f>
        <v/>
      </c>
      <c r="P24" s="10">
        <f>IF(O24="","",IF(ROW()=3,MAX(0,O24),MAX(N(P23),O24)))</f>
        <v/>
      </c>
      <c r="Q24" s="10">
        <f>IF(O24="","",P24-O24)</f>
        <v/>
      </c>
      <c r="R24" s="11">
        <f>IF(K24="","",IF(K24&lt;0,IF(ROW()=3,1,N(R23)+1),0))</f>
        <v/>
      </c>
    </row>
    <row r="25">
      <c r="A25" s="4">
        <f>IF(B25="","",COUNT($B$3:B25))</f>
        <v/>
      </c>
      <c r="B25" s="5" t="n"/>
      <c r="C25" s="6" t="n"/>
      <c r="D25" s="6" t="n"/>
      <c r="E25" s="6" t="n"/>
      <c r="F25" s="6" t="n"/>
      <c r="G25" s="7" t="n"/>
      <c r="H25" s="7" t="n"/>
      <c r="I25" s="7" t="n"/>
      <c r="J25" s="7" t="n"/>
      <c r="K25" s="8">
        <f>IF(OR(G25="",H25="",J25=""),"",IF(F25="LONG",(J25-G25)/(G25-H25),(G25-J25)/(H25-G25)))</f>
        <v/>
      </c>
      <c r="L25" s="9" t="n"/>
      <c r="M25" s="8">
        <f>IF(OR(K25="",L25=""),"",K25*L25)</f>
        <v/>
      </c>
      <c r="N25" s="6" t="n"/>
      <c r="O25" s="10">
        <f>IF(M25="","",IF(ROW()=3,M25,N(O24)+M25))</f>
        <v/>
      </c>
      <c r="P25" s="10">
        <f>IF(O25="","",IF(ROW()=3,MAX(0,O25),MAX(N(P24),O25)))</f>
        <v/>
      </c>
      <c r="Q25" s="10">
        <f>IF(O25="","",P25-O25)</f>
        <v/>
      </c>
      <c r="R25" s="11">
        <f>IF(K25="","",IF(K25&lt;0,IF(ROW()=3,1,N(R24)+1),0))</f>
        <v/>
      </c>
    </row>
    <row r="26">
      <c r="A26" s="4">
        <f>IF(B26="","",COUNT($B$3:B26))</f>
        <v/>
      </c>
      <c r="B26" s="5" t="n"/>
      <c r="C26" s="6" t="n"/>
      <c r="D26" s="6" t="n"/>
      <c r="E26" s="6" t="n"/>
      <c r="F26" s="6" t="n"/>
      <c r="G26" s="7" t="n"/>
      <c r="H26" s="7" t="n"/>
      <c r="I26" s="7" t="n"/>
      <c r="J26" s="7" t="n"/>
      <c r="K26" s="8">
        <f>IF(OR(G26="",H26="",J26=""),"",IF(F26="LONG",(J26-G26)/(G26-H26),(G26-J26)/(H26-G26)))</f>
        <v/>
      </c>
      <c r="L26" s="9" t="n"/>
      <c r="M26" s="8">
        <f>IF(OR(K26="",L26=""),"",K26*L26)</f>
        <v/>
      </c>
      <c r="N26" s="6" t="n"/>
      <c r="O26" s="10">
        <f>IF(M26="","",IF(ROW()=3,M26,N(O25)+M26))</f>
        <v/>
      </c>
      <c r="P26" s="10">
        <f>IF(O26="","",IF(ROW()=3,MAX(0,O26),MAX(N(P25),O26)))</f>
        <v/>
      </c>
      <c r="Q26" s="10">
        <f>IF(O26="","",P26-O26)</f>
        <v/>
      </c>
      <c r="R26" s="11">
        <f>IF(K26="","",IF(K26&lt;0,IF(ROW()=3,1,N(R25)+1),0))</f>
        <v/>
      </c>
    </row>
    <row r="27">
      <c r="A27" s="4">
        <f>IF(B27="","",COUNT($B$3:B27))</f>
        <v/>
      </c>
      <c r="B27" s="5" t="n"/>
      <c r="C27" s="6" t="n"/>
      <c r="D27" s="6" t="n"/>
      <c r="E27" s="6" t="n"/>
      <c r="F27" s="6" t="n"/>
      <c r="G27" s="7" t="n"/>
      <c r="H27" s="7" t="n"/>
      <c r="I27" s="7" t="n"/>
      <c r="J27" s="7" t="n"/>
      <c r="K27" s="8">
        <f>IF(OR(G27="",H27="",J27=""),"",IF(F27="LONG",(J27-G27)/(G27-H27),(G27-J27)/(H27-G27)))</f>
        <v/>
      </c>
      <c r="L27" s="9" t="n"/>
      <c r="M27" s="8">
        <f>IF(OR(K27="",L27=""),"",K27*L27)</f>
        <v/>
      </c>
      <c r="N27" s="6" t="n"/>
      <c r="O27" s="10">
        <f>IF(M27="","",IF(ROW()=3,M27,N(O26)+M27))</f>
        <v/>
      </c>
      <c r="P27" s="10">
        <f>IF(O27="","",IF(ROW()=3,MAX(0,O27),MAX(N(P26),O27)))</f>
        <v/>
      </c>
      <c r="Q27" s="10">
        <f>IF(O27="","",P27-O27)</f>
        <v/>
      </c>
      <c r="R27" s="11">
        <f>IF(K27="","",IF(K27&lt;0,IF(ROW()=3,1,N(R26)+1),0))</f>
        <v/>
      </c>
    </row>
    <row r="28">
      <c r="A28" s="4">
        <f>IF(B28="","",COUNT($B$3:B28))</f>
        <v/>
      </c>
      <c r="B28" s="5" t="n"/>
      <c r="C28" s="6" t="n"/>
      <c r="D28" s="6" t="n"/>
      <c r="E28" s="6" t="n"/>
      <c r="F28" s="6" t="n"/>
      <c r="G28" s="7" t="n"/>
      <c r="H28" s="7" t="n"/>
      <c r="I28" s="7" t="n"/>
      <c r="J28" s="7" t="n"/>
      <c r="K28" s="8">
        <f>IF(OR(G28="",H28="",J28=""),"",IF(F28="LONG",(J28-G28)/(G28-H28),(G28-J28)/(H28-G28)))</f>
        <v/>
      </c>
      <c r="L28" s="9" t="n"/>
      <c r="M28" s="8">
        <f>IF(OR(K28="",L28=""),"",K28*L28)</f>
        <v/>
      </c>
      <c r="N28" s="6" t="n"/>
      <c r="O28" s="10">
        <f>IF(M28="","",IF(ROW()=3,M28,N(O27)+M28))</f>
        <v/>
      </c>
      <c r="P28" s="10">
        <f>IF(O28="","",IF(ROW()=3,MAX(0,O28),MAX(N(P27),O28)))</f>
        <v/>
      </c>
      <c r="Q28" s="10">
        <f>IF(O28="","",P28-O28)</f>
        <v/>
      </c>
      <c r="R28" s="11">
        <f>IF(K28="","",IF(K28&lt;0,IF(ROW()=3,1,N(R27)+1),0))</f>
        <v/>
      </c>
    </row>
    <row r="29">
      <c r="A29" s="4">
        <f>IF(B29="","",COUNT($B$3:B29))</f>
        <v/>
      </c>
      <c r="B29" s="5" t="n"/>
      <c r="C29" s="6" t="n"/>
      <c r="D29" s="6" t="n"/>
      <c r="E29" s="6" t="n"/>
      <c r="F29" s="6" t="n"/>
      <c r="G29" s="7" t="n"/>
      <c r="H29" s="7" t="n"/>
      <c r="I29" s="7" t="n"/>
      <c r="J29" s="7" t="n"/>
      <c r="K29" s="8">
        <f>IF(OR(G29="",H29="",J29=""),"",IF(F29="LONG",(J29-G29)/(G29-H29),(G29-J29)/(H29-G29)))</f>
        <v/>
      </c>
      <c r="L29" s="9" t="n"/>
      <c r="M29" s="8">
        <f>IF(OR(K29="",L29=""),"",K29*L29)</f>
        <v/>
      </c>
      <c r="N29" s="6" t="n"/>
      <c r="O29" s="10">
        <f>IF(M29="","",IF(ROW()=3,M29,N(O28)+M29))</f>
        <v/>
      </c>
      <c r="P29" s="10">
        <f>IF(O29="","",IF(ROW()=3,MAX(0,O29),MAX(N(P28),O29)))</f>
        <v/>
      </c>
      <c r="Q29" s="10">
        <f>IF(O29="","",P29-O29)</f>
        <v/>
      </c>
      <c r="R29" s="11">
        <f>IF(K29="","",IF(K29&lt;0,IF(ROW()=3,1,N(R28)+1),0))</f>
        <v/>
      </c>
    </row>
    <row r="30">
      <c r="A30" s="4">
        <f>IF(B30="","",COUNT($B$3:B30))</f>
        <v/>
      </c>
      <c r="B30" s="5" t="n"/>
      <c r="C30" s="6" t="n"/>
      <c r="D30" s="6" t="n"/>
      <c r="E30" s="6" t="n"/>
      <c r="F30" s="6" t="n"/>
      <c r="G30" s="7" t="n"/>
      <c r="H30" s="7" t="n"/>
      <c r="I30" s="7" t="n"/>
      <c r="J30" s="7" t="n"/>
      <c r="K30" s="8">
        <f>IF(OR(G30="",H30="",J30=""),"",IF(F30="LONG",(J30-G30)/(G30-H30),(G30-J30)/(H30-G30)))</f>
        <v/>
      </c>
      <c r="L30" s="9" t="n"/>
      <c r="M30" s="8">
        <f>IF(OR(K30="",L30=""),"",K30*L30)</f>
        <v/>
      </c>
      <c r="N30" s="6" t="n"/>
      <c r="O30" s="10">
        <f>IF(M30="","",IF(ROW()=3,M30,N(O29)+M30))</f>
        <v/>
      </c>
      <c r="P30" s="10">
        <f>IF(O30="","",IF(ROW()=3,MAX(0,O30),MAX(N(P29),O30)))</f>
        <v/>
      </c>
      <c r="Q30" s="10">
        <f>IF(O30="","",P30-O30)</f>
        <v/>
      </c>
      <c r="R30" s="11">
        <f>IF(K30="","",IF(K30&lt;0,IF(ROW()=3,1,N(R29)+1),0))</f>
        <v/>
      </c>
    </row>
    <row r="31">
      <c r="A31" s="4">
        <f>IF(B31="","",COUNT($B$3:B31))</f>
        <v/>
      </c>
      <c r="B31" s="5" t="n"/>
      <c r="C31" s="6" t="n"/>
      <c r="D31" s="6" t="n"/>
      <c r="E31" s="6" t="n"/>
      <c r="F31" s="6" t="n"/>
      <c r="G31" s="7" t="n"/>
      <c r="H31" s="7" t="n"/>
      <c r="I31" s="7" t="n"/>
      <c r="J31" s="7" t="n"/>
      <c r="K31" s="8">
        <f>IF(OR(G31="",H31="",J31=""),"",IF(F31="LONG",(J31-G31)/(G31-H31),(G31-J31)/(H31-G31)))</f>
        <v/>
      </c>
      <c r="L31" s="9" t="n"/>
      <c r="M31" s="8">
        <f>IF(OR(K31="",L31=""),"",K31*L31)</f>
        <v/>
      </c>
      <c r="N31" s="6" t="n"/>
      <c r="O31" s="10">
        <f>IF(M31="","",IF(ROW()=3,M31,N(O30)+M31))</f>
        <v/>
      </c>
      <c r="P31" s="10">
        <f>IF(O31="","",IF(ROW()=3,MAX(0,O31),MAX(N(P30),O31)))</f>
        <v/>
      </c>
      <c r="Q31" s="10">
        <f>IF(O31="","",P31-O31)</f>
        <v/>
      </c>
      <c r="R31" s="11">
        <f>IF(K31="","",IF(K31&lt;0,IF(ROW()=3,1,N(R30)+1),0))</f>
        <v/>
      </c>
    </row>
    <row r="32">
      <c r="A32" s="4">
        <f>IF(B32="","",COUNT($B$3:B32))</f>
        <v/>
      </c>
      <c r="B32" s="5" t="n"/>
      <c r="C32" s="6" t="n"/>
      <c r="D32" s="6" t="n"/>
      <c r="E32" s="6" t="n"/>
      <c r="F32" s="6" t="n"/>
      <c r="G32" s="7" t="n"/>
      <c r="H32" s="7" t="n"/>
      <c r="I32" s="7" t="n"/>
      <c r="J32" s="7" t="n"/>
      <c r="K32" s="8">
        <f>IF(OR(G32="",H32="",J32=""),"",IF(F32="LONG",(J32-G32)/(G32-H32),(G32-J32)/(H32-G32)))</f>
        <v/>
      </c>
      <c r="L32" s="9" t="n"/>
      <c r="M32" s="8">
        <f>IF(OR(K32="",L32=""),"",K32*L32)</f>
        <v/>
      </c>
      <c r="N32" s="6" t="n"/>
      <c r="O32" s="10">
        <f>IF(M32="","",IF(ROW()=3,M32,N(O31)+M32))</f>
        <v/>
      </c>
      <c r="P32" s="10">
        <f>IF(O32="","",IF(ROW()=3,MAX(0,O32),MAX(N(P31),O32)))</f>
        <v/>
      </c>
      <c r="Q32" s="10">
        <f>IF(O32="","",P32-O32)</f>
        <v/>
      </c>
      <c r="R32" s="11">
        <f>IF(K32="","",IF(K32&lt;0,IF(ROW()=3,1,N(R31)+1),0))</f>
        <v/>
      </c>
    </row>
    <row r="33">
      <c r="A33" s="4">
        <f>IF(B33="","",COUNT($B$3:B33))</f>
        <v/>
      </c>
      <c r="B33" s="5" t="n"/>
      <c r="C33" s="6" t="n"/>
      <c r="D33" s="6" t="n"/>
      <c r="E33" s="6" t="n"/>
      <c r="F33" s="6" t="n"/>
      <c r="G33" s="7" t="n"/>
      <c r="H33" s="7" t="n"/>
      <c r="I33" s="7" t="n"/>
      <c r="J33" s="7" t="n"/>
      <c r="K33" s="8">
        <f>IF(OR(G33="",H33="",J33=""),"",IF(F33="LONG",(J33-G33)/(G33-H33),(G33-J33)/(H33-G33)))</f>
        <v/>
      </c>
      <c r="L33" s="9" t="n"/>
      <c r="M33" s="8">
        <f>IF(OR(K33="",L33=""),"",K33*L33)</f>
        <v/>
      </c>
      <c r="N33" s="6" t="n"/>
      <c r="O33" s="10">
        <f>IF(M33="","",IF(ROW()=3,M33,N(O32)+M33))</f>
        <v/>
      </c>
      <c r="P33" s="10">
        <f>IF(O33="","",IF(ROW()=3,MAX(0,O33),MAX(N(P32),O33)))</f>
        <v/>
      </c>
      <c r="Q33" s="10">
        <f>IF(O33="","",P33-O33)</f>
        <v/>
      </c>
      <c r="R33" s="11">
        <f>IF(K33="","",IF(K33&lt;0,IF(ROW()=3,1,N(R32)+1),0))</f>
        <v/>
      </c>
    </row>
    <row r="34">
      <c r="A34" s="4">
        <f>IF(B34="","",COUNT($B$3:B34))</f>
        <v/>
      </c>
      <c r="B34" s="5" t="n"/>
      <c r="C34" s="6" t="n"/>
      <c r="D34" s="6" t="n"/>
      <c r="E34" s="6" t="n"/>
      <c r="F34" s="6" t="n"/>
      <c r="G34" s="7" t="n"/>
      <c r="H34" s="7" t="n"/>
      <c r="I34" s="7" t="n"/>
      <c r="J34" s="7" t="n"/>
      <c r="K34" s="8">
        <f>IF(OR(G34="",H34="",J34=""),"",IF(F34="LONG",(J34-G34)/(G34-H34),(G34-J34)/(H34-G34)))</f>
        <v/>
      </c>
      <c r="L34" s="9" t="n"/>
      <c r="M34" s="8">
        <f>IF(OR(K34="",L34=""),"",K34*L34)</f>
        <v/>
      </c>
      <c r="N34" s="6" t="n"/>
      <c r="O34" s="10">
        <f>IF(M34="","",IF(ROW()=3,M34,N(O33)+M34))</f>
        <v/>
      </c>
      <c r="P34" s="10">
        <f>IF(O34="","",IF(ROW()=3,MAX(0,O34),MAX(N(P33),O34)))</f>
        <v/>
      </c>
      <c r="Q34" s="10">
        <f>IF(O34="","",P34-O34)</f>
        <v/>
      </c>
      <c r="R34" s="11">
        <f>IF(K34="","",IF(K34&lt;0,IF(ROW()=3,1,N(R33)+1),0))</f>
        <v/>
      </c>
    </row>
    <row r="35">
      <c r="A35" s="4">
        <f>IF(B35="","",COUNT($B$3:B35))</f>
        <v/>
      </c>
      <c r="B35" s="5" t="n"/>
      <c r="C35" s="6" t="n"/>
      <c r="D35" s="6" t="n"/>
      <c r="E35" s="6" t="n"/>
      <c r="F35" s="6" t="n"/>
      <c r="G35" s="7" t="n"/>
      <c r="H35" s="7" t="n"/>
      <c r="I35" s="7" t="n"/>
      <c r="J35" s="7" t="n"/>
      <c r="K35" s="8">
        <f>IF(OR(G35="",H35="",J35=""),"",IF(F35="LONG",(J35-G35)/(G35-H35),(G35-J35)/(H35-G35)))</f>
        <v/>
      </c>
      <c r="L35" s="9" t="n"/>
      <c r="M35" s="8">
        <f>IF(OR(K35="",L35=""),"",K35*L35)</f>
        <v/>
      </c>
      <c r="N35" s="6" t="n"/>
      <c r="O35" s="10">
        <f>IF(M35="","",IF(ROW()=3,M35,N(O34)+M35))</f>
        <v/>
      </c>
      <c r="P35" s="10">
        <f>IF(O35="","",IF(ROW()=3,MAX(0,O35),MAX(N(P34),O35)))</f>
        <v/>
      </c>
      <c r="Q35" s="10">
        <f>IF(O35="","",P35-O35)</f>
        <v/>
      </c>
      <c r="R35" s="11">
        <f>IF(K35="","",IF(K35&lt;0,IF(ROW()=3,1,N(R34)+1),0))</f>
        <v/>
      </c>
    </row>
    <row r="36">
      <c r="A36" s="4">
        <f>IF(B36="","",COUNT($B$3:B36))</f>
        <v/>
      </c>
      <c r="B36" s="5" t="n"/>
      <c r="C36" s="6" t="n"/>
      <c r="D36" s="6" t="n"/>
      <c r="E36" s="6" t="n"/>
      <c r="F36" s="6" t="n"/>
      <c r="G36" s="7" t="n"/>
      <c r="H36" s="7" t="n"/>
      <c r="I36" s="7" t="n"/>
      <c r="J36" s="7" t="n"/>
      <c r="K36" s="8">
        <f>IF(OR(G36="",H36="",J36=""),"",IF(F36="LONG",(J36-G36)/(G36-H36),(G36-J36)/(H36-G36)))</f>
        <v/>
      </c>
      <c r="L36" s="9" t="n"/>
      <c r="M36" s="8">
        <f>IF(OR(K36="",L36=""),"",K36*L36)</f>
        <v/>
      </c>
      <c r="N36" s="6" t="n"/>
      <c r="O36" s="10">
        <f>IF(M36="","",IF(ROW()=3,M36,N(O35)+M36))</f>
        <v/>
      </c>
      <c r="P36" s="10">
        <f>IF(O36="","",IF(ROW()=3,MAX(0,O36),MAX(N(P35),O36)))</f>
        <v/>
      </c>
      <c r="Q36" s="10">
        <f>IF(O36="","",P36-O36)</f>
        <v/>
      </c>
      <c r="R36" s="11">
        <f>IF(K36="","",IF(K36&lt;0,IF(ROW()=3,1,N(R35)+1),0))</f>
        <v/>
      </c>
    </row>
    <row r="37">
      <c r="A37" s="4">
        <f>IF(B37="","",COUNT($B$3:B37))</f>
        <v/>
      </c>
      <c r="B37" s="5" t="n"/>
      <c r="C37" s="6" t="n"/>
      <c r="D37" s="6" t="n"/>
      <c r="E37" s="6" t="n"/>
      <c r="F37" s="6" t="n"/>
      <c r="G37" s="7" t="n"/>
      <c r="H37" s="7" t="n"/>
      <c r="I37" s="7" t="n"/>
      <c r="J37" s="7" t="n"/>
      <c r="K37" s="8">
        <f>IF(OR(G37="",H37="",J37=""),"",IF(F37="LONG",(J37-G37)/(G37-H37),(G37-J37)/(H37-G37)))</f>
        <v/>
      </c>
      <c r="L37" s="9" t="n"/>
      <c r="M37" s="8">
        <f>IF(OR(K37="",L37=""),"",K37*L37)</f>
        <v/>
      </c>
      <c r="N37" s="6" t="n"/>
      <c r="O37" s="10">
        <f>IF(M37="","",IF(ROW()=3,M37,N(O36)+M37))</f>
        <v/>
      </c>
      <c r="P37" s="10">
        <f>IF(O37="","",IF(ROW()=3,MAX(0,O37),MAX(N(P36),O37)))</f>
        <v/>
      </c>
      <c r="Q37" s="10">
        <f>IF(O37="","",P37-O37)</f>
        <v/>
      </c>
      <c r="R37" s="11">
        <f>IF(K37="","",IF(K37&lt;0,IF(ROW()=3,1,N(R36)+1),0))</f>
        <v/>
      </c>
    </row>
    <row r="38">
      <c r="A38" s="4">
        <f>IF(B38="","",COUNT($B$3:B38))</f>
        <v/>
      </c>
      <c r="B38" s="5" t="n"/>
      <c r="C38" s="6" t="n"/>
      <c r="D38" s="6" t="n"/>
      <c r="E38" s="6" t="n"/>
      <c r="F38" s="6" t="n"/>
      <c r="G38" s="7" t="n"/>
      <c r="H38" s="7" t="n"/>
      <c r="I38" s="7" t="n"/>
      <c r="J38" s="7" t="n"/>
      <c r="K38" s="8">
        <f>IF(OR(G38="",H38="",J38=""),"",IF(F38="LONG",(J38-G38)/(G38-H38),(G38-J38)/(H38-G38)))</f>
        <v/>
      </c>
      <c r="L38" s="9" t="n"/>
      <c r="M38" s="8">
        <f>IF(OR(K38="",L38=""),"",K38*L38)</f>
        <v/>
      </c>
      <c r="N38" s="6" t="n"/>
      <c r="O38" s="10">
        <f>IF(M38="","",IF(ROW()=3,M38,N(O37)+M38))</f>
        <v/>
      </c>
      <c r="P38" s="10">
        <f>IF(O38="","",IF(ROW()=3,MAX(0,O38),MAX(N(P37),O38)))</f>
        <v/>
      </c>
      <c r="Q38" s="10">
        <f>IF(O38="","",P38-O38)</f>
        <v/>
      </c>
      <c r="R38" s="11">
        <f>IF(K38="","",IF(K38&lt;0,IF(ROW()=3,1,N(R37)+1),0))</f>
        <v/>
      </c>
    </row>
    <row r="39">
      <c r="A39" s="4">
        <f>IF(B39="","",COUNT($B$3:B39))</f>
        <v/>
      </c>
      <c r="B39" s="5" t="n"/>
      <c r="C39" s="6" t="n"/>
      <c r="D39" s="6" t="n"/>
      <c r="E39" s="6" t="n"/>
      <c r="F39" s="6" t="n"/>
      <c r="G39" s="7" t="n"/>
      <c r="H39" s="7" t="n"/>
      <c r="I39" s="7" t="n"/>
      <c r="J39" s="7" t="n"/>
      <c r="K39" s="8">
        <f>IF(OR(G39="",H39="",J39=""),"",IF(F39="LONG",(J39-G39)/(G39-H39),(G39-J39)/(H39-G39)))</f>
        <v/>
      </c>
      <c r="L39" s="9" t="n"/>
      <c r="M39" s="8">
        <f>IF(OR(K39="",L39=""),"",K39*L39)</f>
        <v/>
      </c>
      <c r="N39" s="6" t="n"/>
      <c r="O39" s="10">
        <f>IF(M39="","",IF(ROW()=3,M39,N(O38)+M39))</f>
        <v/>
      </c>
      <c r="P39" s="10">
        <f>IF(O39="","",IF(ROW()=3,MAX(0,O39),MAX(N(P38),O39)))</f>
        <v/>
      </c>
      <c r="Q39" s="10">
        <f>IF(O39="","",P39-O39)</f>
        <v/>
      </c>
      <c r="R39" s="11">
        <f>IF(K39="","",IF(K39&lt;0,IF(ROW()=3,1,N(R38)+1),0))</f>
        <v/>
      </c>
    </row>
    <row r="40">
      <c r="A40" s="4">
        <f>IF(B40="","",COUNT($B$3:B40))</f>
        <v/>
      </c>
      <c r="B40" s="5" t="n"/>
      <c r="C40" s="6" t="n"/>
      <c r="D40" s="6" t="n"/>
      <c r="E40" s="6" t="n"/>
      <c r="F40" s="6" t="n"/>
      <c r="G40" s="7" t="n"/>
      <c r="H40" s="7" t="n"/>
      <c r="I40" s="7" t="n"/>
      <c r="J40" s="7" t="n"/>
      <c r="K40" s="8">
        <f>IF(OR(G40="",H40="",J40=""),"",IF(F40="LONG",(J40-G40)/(G40-H40),(G40-J40)/(H40-G40)))</f>
        <v/>
      </c>
      <c r="L40" s="9" t="n"/>
      <c r="M40" s="8">
        <f>IF(OR(K40="",L40=""),"",K40*L40)</f>
        <v/>
      </c>
      <c r="N40" s="6" t="n"/>
      <c r="O40" s="10">
        <f>IF(M40="","",IF(ROW()=3,M40,N(O39)+M40))</f>
        <v/>
      </c>
      <c r="P40" s="10">
        <f>IF(O40="","",IF(ROW()=3,MAX(0,O40),MAX(N(P39),O40)))</f>
        <v/>
      </c>
      <c r="Q40" s="10">
        <f>IF(O40="","",P40-O40)</f>
        <v/>
      </c>
      <c r="R40" s="11">
        <f>IF(K40="","",IF(K40&lt;0,IF(ROW()=3,1,N(R39)+1),0))</f>
        <v/>
      </c>
    </row>
    <row r="41">
      <c r="A41" s="4">
        <f>IF(B41="","",COUNT($B$3:B41))</f>
        <v/>
      </c>
      <c r="B41" s="5" t="n"/>
      <c r="C41" s="6" t="n"/>
      <c r="D41" s="6" t="n"/>
      <c r="E41" s="6" t="n"/>
      <c r="F41" s="6" t="n"/>
      <c r="G41" s="7" t="n"/>
      <c r="H41" s="7" t="n"/>
      <c r="I41" s="7" t="n"/>
      <c r="J41" s="7" t="n"/>
      <c r="K41" s="8">
        <f>IF(OR(G41="",H41="",J41=""),"",IF(F41="LONG",(J41-G41)/(G41-H41),(G41-J41)/(H41-G41)))</f>
        <v/>
      </c>
      <c r="L41" s="9" t="n"/>
      <c r="M41" s="8">
        <f>IF(OR(K41="",L41=""),"",K41*L41)</f>
        <v/>
      </c>
      <c r="N41" s="6" t="n"/>
      <c r="O41" s="10">
        <f>IF(M41="","",IF(ROW()=3,M41,N(O40)+M41))</f>
        <v/>
      </c>
      <c r="P41" s="10">
        <f>IF(O41="","",IF(ROW()=3,MAX(0,O41),MAX(N(P40),O41)))</f>
        <v/>
      </c>
      <c r="Q41" s="10">
        <f>IF(O41="","",P41-O41)</f>
        <v/>
      </c>
      <c r="R41" s="11">
        <f>IF(K41="","",IF(K41&lt;0,IF(ROW()=3,1,N(R40)+1),0))</f>
        <v/>
      </c>
    </row>
    <row r="42">
      <c r="A42" s="4">
        <f>IF(B42="","",COUNT($B$3:B42))</f>
        <v/>
      </c>
      <c r="B42" s="5" t="n"/>
      <c r="C42" s="6" t="n"/>
      <c r="D42" s="6" t="n"/>
      <c r="E42" s="6" t="n"/>
      <c r="F42" s="6" t="n"/>
      <c r="G42" s="7" t="n"/>
      <c r="H42" s="7" t="n"/>
      <c r="I42" s="7" t="n"/>
      <c r="J42" s="7" t="n"/>
      <c r="K42" s="8">
        <f>IF(OR(G42="",H42="",J42=""),"",IF(F42="LONG",(J42-G42)/(G42-H42),(G42-J42)/(H42-G42)))</f>
        <v/>
      </c>
      <c r="L42" s="9" t="n"/>
      <c r="M42" s="8">
        <f>IF(OR(K42="",L42=""),"",K42*L42)</f>
        <v/>
      </c>
      <c r="N42" s="6" t="n"/>
      <c r="O42" s="10">
        <f>IF(M42="","",IF(ROW()=3,M42,N(O41)+M42))</f>
        <v/>
      </c>
      <c r="P42" s="10">
        <f>IF(O42="","",IF(ROW()=3,MAX(0,O42),MAX(N(P41),O42)))</f>
        <v/>
      </c>
      <c r="Q42" s="10">
        <f>IF(O42="","",P42-O42)</f>
        <v/>
      </c>
      <c r="R42" s="11">
        <f>IF(K42="","",IF(K42&lt;0,IF(ROW()=3,1,N(R41)+1),0))</f>
        <v/>
      </c>
    </row>
    <row r="43">
      <c r="A43" s="4">
        <f>IF(B43="","",COUNT($B$3:B43))</f>
        <v/>
      </c>
      <c r="B43" s="5" t="n"/>
      <c r="C43" s="6" t="n"/>
      <c r="D43" s="6" t="n"/>
      <c r="E43" s="6" t="n"/>
      <c r="F43" s="6" t="n"/>
      <c r="G43" s="7" t="n"/>
      <c r="H43" s="7" t="n"/>
      <c r="I43" s="7" t="n"/>
      <c r="J43" s="7" t="n"/>
      <c r="K43" s="8">
        <f>IF(OR(G43="",H43="",J43=""),"",IF(F43="LONG",(J43-G43)/(G43-H43),(G43-J43)/(H43-G43)))</f>
        <v/>
      </c>
      <c r="L43" s="9" t="n"/>
      <c r="M43" s="8">
        <f>IF(OR(K43="",L43=""),"",K43*L43)</f>
        <v/>
      </c>
      <c r="N43" s="6" t="n"/>
      <c r="O43" s="10">
        <f>IF(M43="","",IF(ROW()=3,M43,N(O42)+M43))</f>
        <v/>
      </c>
      <c r="P43" s="10">
        <f>IF(O43="","",IF(ROW()=3,MAX(0,O43),MAX(N(P42),O43)))</f>
        <v/>
      </c>
      <c r="Q43" s="10">
        <f>IF(O43="","",P43-O43)</f>
        <v/>
      </c>
      <c r="R43" s="11">
        <f>IF(K43="","",IF(K43&lt;0,IF(ROW()=3,1,N(R42)+1),0))</f>
        <v/>
      </c>
    </row>
    <row r="44">
      <c r="A44" s="4">
        <f>IF(B44="","",COUNT($B$3:B44))</f>
        <v/>
      </c>
      <c r="B44" s="5" t="n"/>
      <c r="C44" s="6" t="n"/>
      <c r="D44" s="6" t="n"/>
      <c r="E44" s="6" t="n"/>
      <c r="F44" s="6" t="n"/>
      <c r="G44" s="7" t="n"/>
      <c r="H44" s="7" t="n"/>
      <c r="I44" s="7" t="n"/>
      <c r="J44" s="7" t="n"/>
      <c r="K44" s="8">
        <f>IF(OR(G44="",H44="",J44=""),"",IF(F44="LONG",(J44-G44)/(G44-H44),(G44-J44)/(H44-G44)))</f>
        <v/>
      </c>
      <c r="L44" s="9" t="n"/>
      <c r="M44" s="8">
        <f>IF(OR(K44="",L44=""),"",K44*L44)</f>
        <v/>
      </c>
      <c r="N44" s="6" t="n"/>
      <c r="O44" s="10">
        <f>IF(M44="","",IF(ROW()=3,M44,N(O43)+M44))</f>
        <v/>
      </c>
      <c r="P44" s="10">
        <f>IF(O44="","",IF(ROW()=3,MAX(0,O44),MAX(N(P43),O44)))</f>
        <v/>
      </c>
      <c r="Q44" s="10">
        <f>IF(O44="","",P44-O44)</f>
        <v/>
      </c>
      <c r="R44" s="11">
        <f>IF(K44="","",IF(K44&lt;0,IF(ROW()=3,1,N(R43)+1),0))</f>
        <v/>
      </c>
    </row>
    <row r="45">
      <c r="A45" s="4">
        <f>IF(B45="","",COUNT($B$3:B45))</f>
        <v/>
      </c>
      <c r="B45" s="5" t="n"/>
      <c r="C45" s="6" t="n"/>
      <c r="D45" s="6" t="n"/>
      <c r="E45" s="6" t="n"/>
      <c r="F45" s="6" t="n"/>
      <c r="G45" s="7" t="n"/>
      <c r="H45" s="7" t="n"/>
      <c r="I45" s="7" t="n"/>
      <c r="J45" s="7" t="n"/>
      <c r="K45" s="8">
        <f>IF(OR(G45="",H45="",J45=""),"",IF(F45="LONG",(J45-G45)/(G45-H45),(G45-J45)/(H45-G45)))</f>
        <v/>
      </c>
      <c r="L45" s="9" t="n"/>
      <c r="M45" s="8">
        <f>IF(OR(K45="",L45=""),"",K45*L45)</f>
        <v/>
      </c>
      <c r="N45" s="6" t="n"/>
      <c r="O45" s="10">
        <f>IF(M45="","",IF(ROW()=3,M45,N(O44)+M45))</f>
        <v/>
      </c>
      <c r="P45" s="10">
        <f>IF(O45="","",IF(ROW()=3,MAX(0,O45),MAX(N(P44),O45)))</f>
        <v/>
      </c>
      <c r="Q45" s="10">
        <f>IF(O45="","",P45-O45)</f>
        <v/>
      </c>
      <c r="R45" s="11">
        <f>IF(K45="","",IF(K45&lt;0,IF(ROW()=3,1,N(R44)+1),0))</f>
        <v/>
      </c>
    </row>
    <row r="46">
      <c r="A46" s="4">
        <f>IF(B46="","",COUNT($B$3:B46))</f>
        <v/>
      </c>
      <c r="B46" s="5" t="n"/>
      <c r="C46" s="6" t="n"/>
      <c r="D46" s="6" t="n"/>
      <c r="E46" s="6" t="n"/>
      <c r="F46" s="6" t="n"/>
      <c r="G46" s="7" t="n"/>
      <c r="H46" s="7" t="n"/>
      <c r="I46" s="7" t="n"/>
      <c r="J46" s="7" t="n"/>
      <c r="K46" s="8">
        <f>IF(OR(G46="",H46="",J46=""),"",IF(F46="LONG",(J46-G46)/(G46-H46),(G46-J46)/(H46-G46)))</f>
        <v/>
      </c>
      <c r="L46" s="9" t="n"/>
      <c r="M46" s="8">
        <f>IF(OR(K46="",L46=""),"",K46*L46)</f>
        <v/>
      </c>
      <c r="N46" s="6" t="n"/>
      <c r="O46" s="10">
        <f>IF(M46="","",IF(ROW()=3,M46,N(O45)+M46))</f>
        <v/>
      </c>
      <c r="P46" s="10">
        <f>IF(O46="","",IF(ROW()=3,MAX(0,O46),MAX(N(P45),O46)))</f>
        <v/>
      </c>
      <c r="Q46" s="10">
        <f>IF(O46="","",P46-O46)</f>
        <v/>
      </c>
      <c r="R46" s="11">
        <f>IF(K46="","",IF(K46&lt;0,IF(ROW()=3,1,N(R45)+1),0))</f>
        <v/>
      </c>
    </row>
    <row r="47">
      <c r="A47" s="4">
        <f>IF(B47="","",COUNT($B$3:B47))</f>
        <v/>
      </c>
      <c r="B47" s="5" t="n"/>
      <c r="C47" s="6" t="n"/>
      <c r="D47" s="6" t="n"/>
      <c r="E47" s="6" t="n"/>
      <c r="F47" s="6" t="n"/>
      <c r="G47" s="7" t="n"/>
      <c r="H47" s="7" t="n"/>
      <c r="I47" s="7" t="n"/>
      <c r="J47" s="7" t="n"/>
      <c r="K47" s="8">
        <f>IF(OR(G47="",H47="",J47=""),"",IF(F47="LONG",(J47-G47)/(G47-H47),(G47-J47)/(H47-G47)))</f>
        <v/>
      </c>
      <c r="L47" s="9" t="n"/>
      <c r="M47" s="8">
        <f>IF(OR(K47="",L47=""),"",K47*L47)</f>
        <v/>
      </c>
      <c r="N47" s="6" t="n"/>
      <c r="O47" s="10">
        <f>IF(M47="","",IF(ROW()=3,M47,N(O46)+M47))</f>
        <v/>
      </c>
      <c r="P47" s="10">
        <f>IF(O47="","",IF(ROW()=3,MAX(0,O47),MAX(N(P46),O47)))</f>
        <v/>
      </c>
      <c r="Q47" s="10">
        <f>IF(O47="","",P47-O47)</f>
        <v/>
      </c>
      <c r="R47" s="11">
        <f>IF(K47="","",IF(K47&lt;0,IF(ROW()=3,1,N(R46)+1),0))</f>
        <v/>
      </c>
    </row>
    <row r="48">
      <c r="A48" s="4">
        <f>IF(B48="","",COUNT($B$3:B48))</f>
        <v/>
      </c>
      <c r="B48" s="5" t="n"/>
      <c r="C48" s="6" t="n"/>
      <c r="D48" s="6" t="n"/>
      <c r="E48" s="6" t="n"/>
      <c r="F48" s="6" t="n"/>
      <c r="G48" s="7" t="n"/>
      <c r="H48" s="7" t="n"/>
      <c r="I48" s="7" t="n"/>
      <c r="J48" s="7" t="n"/>
      <c r="K48" s="8">
        <f>IF(OR(G48="",H48="",J48=""),"",IF(F48="LONG",(J48-G48)/(G48-H48),(G48-J48)/(H48-G48)))</f>
        <v/>
      </c>
      <c r="L48" s="9" t="n"/>
      <c r="M48" s="8">
        <f>IF(OR(K48="",L48=""),"",K48*L48)</f>
        <v/>
      </c>
      <c r="N48" s="6" t="n"/>
      <c r="O48" s="10">
        <f>IF(M48="","",IF(ROW()=3,M48,N(O47)+M48))</f>
        <v/>
      </c>
      <c r="P48" s="10">
        <f>IF(O48="","",IF(ROW()=3,MAX(0,O48),MAX(N(P47),O48)))</f>
        <v/>
      </c>
      <c r="Q48" s="10">
        <f>IF(O48="","",P48-O48)</f>
        <v/>
      </c>
      <c r="R48" s="11">
        <f>IF(K48="","",IF(K48&lt;0,IF(ROW()=3,1,N(R47)+1),0))</f>
        <v/>
      </c>
    </row>
    <row r="49">
      <c r="A49" s="4">
        <f>IF(B49="","",COUNT($B$3:B49))</f>
        <v/>
      </c>
      <c r="B49" s="5" t="n"/>
      <c r="C49" s="6" t="n"/>
      <c r="D49" s="6" t="n"/>
      <c r="E49" s="6" t="n"/>
      <c r="F49" s="6" t="n"/>
      <c r="G49" s="7" t="n"/>
      <c r="H49" s="7" t="n"/>
      <c r="I49" s="7" t="n"/>
      <c r="J49" s="7" t="n"/>
      <c r="K49" s="8">
        <f>IF(OR(G49="",H49="",J49=""),"",IF(F49="LONG",(J49-G49)/(G49-H49),(G49-J49)/(H49-G49)))</f>
        <v/>
      </c>
      <c r="L49" s="9" t="n"/>
      <c r="M49" s="8">
        <f>IF(OR(K49="",L49=""),"",K49*L49)</f>
        <v/>
      </c>
      <c r="N49" s="6" t="n"/>
      <c r="O49" s="10">
        <f>IF(M49="","",IF(ROW()=3,M49,N(O48)+M49))</f>
        <v/>
      </c>
      <c r="P49" s="10">
        <f>IF(O49="","",IF(ROW()=3,MAX(0,O49),MAX(N(P48),O49)))</f>
        <v/>
      </c>
      <c r="Q49" s="10">
        <f>IF(O49="","",P49-O49)</f>
        <v/>
      </c>
      <c r="R49" s="11">
        <f>IF(K49="","",IF(K49&lt;0,IF(ROW()=3,1,N(R48)+1),0))</f>
        <v/>
      </c>
    </row>
    <row r="50">
      <c r="A50" s="4">
        <f>IF(B50="","",COUNT($B$3:B50))</f>
        <v/>
      </c>
      <c r="B50" s="5" t="n"/>
      <c r="C50" s="6" t="n"/>
      <c r="D50" s="6" t="n"/>
      <c r="E50" s="6" t="n"/>
      <c r="F50" s="6" t="n"/>
      <c r="G50" s="7" t="n"/>
      <c r="H50" s="7" t="n"/>
      <c r="I50" s="7" t="n"/>
      <c r="J50" s="7" t="n"/>
      <c r="K50" s="8">
        <f>IF(OR(G50="",H50="",J50=""),"",IF(F50="LONG",(J50-G50)/(G50-H50),(G50-J50)/(H50-G50)))</f>
        <v/>
      </c>
      <c r="L50" s="9" t="n"/>
      <c r="M50" s="8">
        <f>IF(OR(K50="",L50=""),"",K50*L50)</f>
        <v/>
      </c>
      <c r="N50" s="6" t="n"/>
      <c r="O50" s="10">
        <f>IF(M50="","",IF(ROW()=3,M50,N(O49)+M50))</f>
        <v/>
      </c>
      <c r="P50" s="10">
        <f>IF(O50="","",IF(ROW()=3,MAX(0,O50),MAX(N(P49),O50)))</f>
        <v/>
      </c>
      <c r="Q50" s="10">
        <f>IF(O50="","",P50-O50)</f>
        <v/>
      </c>
      <c r="R50" s="11">
        <f>IF(K50="","",IF(K50&lt;0,IF(ROW()=3,1,N(R49)+1),0))</f>
        <v/>
      </c>
    </row>
    <row r="51">
      <c r="A51" s="4">
        <f>IF(B51="","",COUNT($B$3:B51))</f>
        <v/>
      </c>
      <c r="B51" s="5" t="n"/>
      <c r="C51" s="6" t="n"/>
      <c r="D51" s="6" t="n"/>
      <c r="E51" s="6" t="n"/>
      <c r="F51" s="6" t="n"/>
      <c r="G51" s="7" t="n"/>
      <c r="H51" s="7" t="n"/>
      <c r="I51" s="7" t="n"/>
      <c r="J51" s="7" t="n"/>
      <c r="K51" s="8">
        <f>IF(OR(G51="",H51="",J51=""),"",IF(F51="LONG",(J51-G51)/(G51-H51),(G51-J51)/(H51-G51)))</f>
        <v/>
      </c>
      <c r="L51" s="9" t="n"/>
      <c r="M51" s="8">
        <f>IF(OR(K51="",L51=""),"",K51*L51)</f>
        <v/>
      </c>
      <c r="N51" s="6" t="n"/>
      <c r="O51" s="10">
        <f>IF(M51="","",IF(ROW()=3,M51,N(O50)+M51))</f>
        <v/>
      </c>
      <c r="P51" s="10">
        <f>IF(O51="","",IF(ROW()=3,MAX(0,O51),MAX(N(P50),O51)))</f>
        <v/>
      </c>
      <c r="Q51" s="10">
        <f>IF(O51="","",P51-O51)</f>
        <v/>
      </c>
      <c r="R51" s="11">
        <f>IF(K51="","",IF(K51&lt;0,IF(ROW()=3,1,N(R50)+1),0))</f>
        <v/>
      </c>
    </row>
    <row r="52">
      <c r="A52" s="4">
        <f>IF(B52="","",COUNT($B$3:B52))</f>
        <v/>
      </c>
      <c r="B52" s="5" t="n"/>
      <c r="C52" s="6" t="n"/>
      <c r="D52" s="6" t="n"/>
      <c r="E52" s="6" t="n"/>
      <c r="F52" s="6" t="n"/>
      <c r="G52" s="7" t="n"/>
      <c r="H52" s="7" t="n"/>
      <c r="I52" s="7" t="n"/>
      <c r="J52" s="7" t="n"/>
      <c r="K52" s="8">
        <f>IF(OR(G52="",H52="",J52=""),"",IF(F52="LONG",(J52-G52)/(G52-H52),(G52-J52)/(H52-G52)))</f>
        <v/>
      </c>
      <c r="L52" s="9" t="n"/>
      <c r="M52" s="8">
        <f>IF(OR(K52="",L52=""),"",K52*L52)</f>
        <v/>
      </c>
      <c r="N52" s="6" t="n"/>
      <c r="O52" s="10">
        <f>IF(M52="","",IF(ROW()=3,M52,N(O51)+M52))</f>
        <v/>
      </c>
      <c r="P52" s="10">
        <f>IF(O52="","",IF(ROW()=3,MAX(0,O52),MAX(N(P51),O52)))</f>
        <v/>
      </c>
      <c r="Q52" s="10">
        <f>IF(O52="","",P52-O52)</f>
        <v/>
      </c>
      <c r="R52" s="11">
        <f>IF(K52="","",IF(K52&lt;0,IF(ROW()=3,1,N(R51)+1),0))</f>
        <v/>
      </c>
    </row>
    <row r="53">
      <c r="A53" s="4">
        <f>IF(B53="","",COUNT($B$3:B53))</f>
        <v/>
      </c>
      <c r="B53" s="5" t="n"/>
      <c r="C53" s="6" t="n"/>
      <c r="D53" s="6" t="n"/>
      <c r="E53" s="6" t="n"/>
      <c r="F53" s="6" t="n"/>
      <c r="G53" s="7" t="n"/>
      <c r="H53" s="7" t="n"/>
      <c r="I53" s="7" t="n"/>
      <c r="J53" s="7" t="n"/>
      <c r="K53" s="8">
        <f>IF(OR(G53="",H53="",J53=""),"",IF(F53="LONG",(J53-G53)/(G53-H53),(G53-J53)/(H53-G53)))</f>
        <v/>
      </c>
      <c r="L53" s="9" t="n"/>
      <c r="M53" s="8">
        <f>IF(OR(K53="",L53=""),"",K53*L53)</f>
        <v/>
      </c>
      <c r="N53" s="6" t="n"/>
      <c r="O53" s="10">
        <f>IF(M53="","",IF(ROW()=3,M53,N(O52)+M53))</f>
        <v/>
      </c>
      <c r="P53" s="10">
        <f>IF(O53="","",IF(ROW()=3,MAX(0,O53),MAX(N(P52),O53)))</f>
        <v/>
      </c>
      <c r="Q53" s="10">
        <f>IF(O53="","",P53-O53)</f>
        <v/>
      </c>
      <c r="R53" s="11">
        <f>IF(K53="","",IF(K53&lt;0,IF(ROW()=3,1,N(R52)+1),0))</f>
        <v/>
      </c>
    </row>
    <row r="54">
      <c r="A54" s="4">
        <f>IF(B54="","",COUNT($B$3:B54))</f>
        <v/>
      </c>
      <c r="B54" s="5" t="n"/>
      <c r="C54" s="6" t="n"/>
      <c r="D54" s="6" t="n"/>
      <c r="E54" s="6" t="n"/>
      <c r="F54" s="6" t="n"/>
      <c r="G54" s="7" t="n"/>
      <c r="H54" s="7" t="n"/>
      <c r="I54" s="7" t="n"/>
      <c r="J54" s="7" t="n"/>
      <c r="K54" s="8">
        <f>IF(OR(G54="",H54="",J54=""),"",IF(F54="LONG",(J54-G54)/(G54-H54),(G54-J54)/(H54-G54)))</f>
        <v/>
      </c>
      <c r="L54" s="9" t="n"/>
      <c r="M54" s="8">
        <f>IF(OR(K54="",L54=""),"",K54*L54)</f>
        <v/>
      </c>
      <c r="N54" s="6" t="n"/>
      <c r="O54" s="10">
        <f>IF(M54="","",IF(ROW()=3,M54,N(O53)+M54))</f>
        <v/>
      </c>
      <c r="P54" s="10">
        <f>IF(O54="","",IF(ROW()=3,MAX(0,O54),MAX(N(P53),O54)))</f>
        <v/>
      </c>
      <c r="Q54" s="10">
        <f>IF(O54="","",P54-O54)</f>
        <v/>
      </c>
      <c r="R54" s="11">
        <f>IF(K54="","",IF(K54&lt;0,IF(ROW()=3,1,N(R53)+1),0))</f>
        <v/>
      </c>
    </row>
    <row r="55">
      <c r="A55" s="4">
        <f>IF(B55="","",COUNT($B$3:B55))</f>
        <v/>
      </c>
      <c r="B55" s="5" t="n"/>
      <c r="C55" s="6" t="n"/>
      <c r="D55" s="6" t="n"/>
      <c r="E55" s="6" t="n"/>
      <c r="F55" s="6" t="n"/>
      <c r="G55" s="7" t="n"/>
      <c r="H55" s="7" t="n"/>
      <c r="I55" s="7" t="n"/>
      <c r="J55" s="7" t="n"/>
      <c r="K55" s="8">
        <f>IF(OR(G55="",H55="",J55=""),"",IF(F55="LONG",(J55-G55)/(G55-H55),(G55-J55)/(H55-G55)))</f>
        <v/>
      </c>
      <c r="L55" s="9" t="n"/>
      <c r="M55" s="8">
        <f>IF(OR(K55="",L55=""),"",K55*L55)</f>
        <v/>
      </c>
      <c r="N55" s="6" t="n"/>
      <c r="O55" s="10">
        <f>IF(M55="","",IF(ROW()=3,M55,N(O54)+M55))</f>
        <v/>
      </c>
      <c r="P55" s="10">
        <f>IF(O55="","",IF(ROW()=3,MAX(0,O55),MAX(N(P54),O55)))</f>
        <v/>
      </c>
      <c r="Q55" s="10">
        <f>IF(O55="","",P55-O55)</f>
        <v/>
      </c>
      <c r="R55" s="11">
        <f>IF(K55="","",IF(K55&lt;0,IF(ROW()=3,1,N(R54)+1),0))</f>
        <v/>
      </c>
    </row>
    <row r="56">
      <c r="A56" s="4">
        <f>IF(B56="","",COUNT($B$3:B56))</f>
        <v/>
      </c>
      <c r="B56" s="5" t="n"/>
      <c r="C56" s="6" t="n"/>
      <c r="D56" s="6" t="n"/>
      <c r="E56" s="6" t="n"/>
      <c r="F56" s="6" t="n"/>
      <c r="G56" s="7" t="n"/>
      <c r="H56" s="7" t="n"/>
      <c r="I56" s="7" t="n"/>
      <c r="J56" s="7" t="n"/>
      <c r="K56" s="8">
        <f>IF(OR(G56="",H56="",J56=""),"",IF(F56="LONG",(J56-G56)/(G56-H56),(G56-J56)/(H56-G56)))</f>
        <v/>
      </c>
      <c r="L56" s="9" t="n"/>
      <c r="M56" s="8">
        <f>IF(OR(K56="",L56=""),"",K56*L56)</f>
        <v/>
      </c>
      <c r="N56" s="6" t="n"/>
      <c r="O56" s="10">
        <f>IF(M56="","",IF(ROW()=3,M56,N(O55)+M56))</f>
        <v/>
      </c>
      <c r="P56" s="10">
        <f>IF(O56="","",IF(ROW()=3,MAX(0,O56),MAX(N(P55),O56)))</f>
        <v/>
      </c>
      <c r="Q56" s="10">
        <f>IF(O56="","",P56-O56)</f>
        <v/>
      </c>
      <c r="R56" s="11">
        <f>IF(K56="","",IF(K56&lt;0,IF(ROW()=3,1,N(R55)+1),0))</f>
        <v/>
      </c>
    </row>
    <row r="57">
      <c r="A57" s="4">
        <f>IF(B57="","",COUNT($B$3:B57))</f>
        <v/>
      </c>
      <c r="B57" s="5" t="n"/>
      <c r="C57" s="6" t="n"/>
      <c r="D57" s="6" t="n"/>
      <c r="E57" s="6" t="n"/>
      <c r="F57" s="6" t="n"/>
      <c r="G57" s="7" t="n"/>
      <c r="H57" s="7" t="n"/>
      <c r="I57" s="7" t="n"/>
      <c r="J57" s="7" t="n"/>
      <c r="K57" s="8">
        <f>IF(OR(G57="",H57="",J57=""),"",IF(F57="LONG",(J57-G57)/(G57-H57),(G57-J57)/(H57-G57)))</f>
        <v/>
      </c>
      <c r="L57" s="9" t="n"/>
      <c r="M57" s="8">
        <f>IF(OR(K57="",L57=""),"",K57*L57)</f>
        <v/>
      </c>
      <c r="N57" s="6" t="n"/>
      <c r="O57" s="10">
        <f>IF(M57="","",IF(ROW()=3,M57,N(O56)+M57))</f>
        <v/>
      </c>
      <c r="P57" s="10">
        <f>IF(O57="","",IF(ROW()=3,MAX(0,O57),MAX(N(P56),O57)))</f>
        <v/>
      </c>
      <c r="Q57" s="10">
        <f>IF(O57="","",P57-O57)</f>
        <v/>
      </c>
      <c r="R57" s="11">
        <f>IF(K57="","",IF(K57&lt;0,IF(ROW()=3,1,N(R56)+1),0))</f>
        <v/>
      </c>
    </row>
    <row r="58">
      <c r="A58" s="4">
        <f>IF(B58="","",COUNT($B$3:B58))</f>
        <v/>
      </c>
      <c r="B58" s="5" t="n"/>
      <c r="C58" s="6" t="n"/>
      <c r="D58" s="6" t="n"/>
      <c r="E58" s="6" t="n"/>
      <c r="F58" s="6" t="n"/>
      <c r="G58" s="7" t="n"/>
      <c r="H58" s="7" t="n"/>
      <c r="I58" s="7" t="n"/>
      <c r="J58" s="7" t="n"/>
      <c r="K58" s="8">
        <f>IF(OR(G58="",H58="",J58=""),"",IF(F58="LONG",(J58-G58)/(G58-H58),(G58-J58)/(H58-G58)))</f>
        <v/>
      </c>
      <c r="L58" s="9" t="n"/>
      <c r="M58" s="8">
        <f>IF(OR(K58="",L58=""),"",K58*L58)</f>
        <v/>
      </c>
      <c r="N58" s="6" t="n"/>
      <c r="O58" s="10">
        <f>IF(M58="","",IF(ROW()=3,M58,N(O57)+M58))</f>
        <v/>
      </c>
      <c r="P58" s="10">
        <f>IF(O58="","",IF(ROW()=3,MAX(0,O58),MAX(N(P57),O58)))</f>
        <v/>
      </c>
      <c r="Q58" s="10">
        <f>IF(O58="","",P58-O58)</f>
        <v/>
      </c>
      <c r="R58" s="11">
        <f>IF(K58="","",IF(K58&lt;0,IF(ROW()=3,1,N(R57)+1),0))</f>
        <v/>
      </c>
    </row>
    <row r="59">
      <c r="A59" s="4">
        <f>IF(B59="","",COUNT($B$3:B59))</f>
        <v/>
      </c>
      <c r="B59" s="5" t="n"/>
      <c r="C59" s="6" t="n"/>
      <c r="D59" s="6" t="n"/>
      <c r="E59" s="6" t="n"/>
      <c r="F59" s="6" t="n"/>
      <c r="G59" s="7" t="n"/>
      <c r="H59" s="7" t="n"/>
      <c r="I59" s="7" t="n"/>
      <c r="J59" s="7" t="n"/>
      <c r="K59" s="8">
        <f>IF(OR(G59="",H59="",J59=""),"",IF(F59="LONG",(J59-G59)/(G59-H59),(G59-J59)/(H59-G59)))</f>
        <v/>
      </c>
      <c r="L59" s="9" t="n"/>
      <c r="M59" s="8">
        <f>IF(OR(K59="",L59=""),"",K59*L59)</f>
        <v/>
      </c>
      <c r="N59" s="6" t="n"/>
      <c r="O59" s="10">
        <f>IF(M59="","",IF(ROW()=3,M59,N(O58)+M59))</f>
        <v/>
      </c>
      <c r="P59" s="10">
        <f>IF(O59="","",IF(ROW()=3,MAX(0,O59),MAX(N(P58),O59)))</f>
        <v/>
      </c>
      <c r="Q59" s="10">
        <f>IF(O59="","",P59-O59)</f>
        <v/>
      </c>
      <c r="R59" s="11">
        <f>IF(K59="","",IF(K59&lt;0,IF(ROW()=3,1,N(R58)+1),0))</f>
        <v/>
      </c>
    </row>
    <row r="60">
      <c r="A60" s="4">
        <f>IF(B60="","",COUNT($B$3:B60))</f>
        <v/>
      </c>
      <c r="B60" s="5" t="n"/>
      <c r="C60" s="6" t="n"/>
      <c r="D60" s="6" t="n"/>
      <c r="E60" s="6" t="n"/>
      <c r="F60" s="6" t="n"/>
      <c r="G60" s="7" t="n"/>
      <c r="H60" s="7" t="n"/>
      <c r="I60" s="7" t="n"/>
      <c r="J60" s="7" t="n"/>
      <c r="K60" s="8">
        <f>IF(OR(G60="",H60="",J60=""),"",IF(F60="LONG",(J60-G60)/(G60-H60),(G60-J60)/(H60-G60)))</f>
        <v/>
      </c>
      <c r="L60" s="9" t="n"/>
      <c r="M60" s="8">
        <f>IF(OR(K60="",L60=""),"",K60*L60)</f>
        <v/>
      </c>
      <c r="N60" s="6" t="n"/>
      <c r="O60" s="10">
        <f>IF(M60="","",IF(ROW()=3,M60,N(O59)+M60))</f>
        <v/>
      </c>
      <c r="P60" s="10">
        <f>IF(O60="","",IF(ROW()=3,MAX(0,O60),MAX(N(P59),O60)))</f>
        <v/>
      </c>
      <c r="Q60" s="10">
        <f>IF(O60="","",P60-O60)</f>
        <v/>
      </c>
      <c r="R60" s="11">
        <f>IF(K60="","",IF(K60&lt;0,IF(ROW()=3,1,N(R59)+1),0))</f>
        <v/>
      </c>
    </row>
    <row r="61">
      <c r="A61" s="4">
        <f>IF(B61="","",COUNT($B$3:B61))</f>
        <v/>
      </c>
      <c r="B61" s="5" t="n"/>
      <c r="C61" s="6" t="n"/>
      <c r="D61" s="6" t="n"/>
      <c r="E61" s="6" t="n"/>
      <c r="F61" s="6" t="n"/>
      <c r="G61" s="7" t="n"/>
      <c r="H61" s="7" t="n"/>
      <c r="I61" s="7" t="n"/>
      <c r="J61" s="7" t="n"/>
      <c r="K61" s="8">
        <f>IF(OR(G61="",H61="",J61=""),"",IF(F61="LONG",(J61-G61)/(G61-H61),(G61-J61)/(H61-G61)))</f>
        <v/>
      </c>
      <c r="L61" s="9" t="n"/>
      <c r="M61" s="8">
        <f>IF(OR(K61="",L61=""),"",K61*L61)</f>
        <v/>
      </c>
      <c r="N61" s="6" t="n"/>
      <c r="O61" s="10">
        <f>IF(M61="","",IF(ROW()=3,M61,N(O60)+M61))</f>
        <v/>
      </c>
      <c r="P61" s="10">
        <f>IF(O61="","",IF(ROW()=3,MAX(0,O61),MAX(N(P60),O61)))</f>
        <v/>
      </c>
      <c r="Q61" s="10">
        <f>IF(O61="","",P61-O61)</f>
        <v/>
      </c>
      <c r="R61" s="11">
        <f>IF(K61="","",IF(K61&lt;0,IF(ROW()=3,1,N(R60)+1),0))</f>
        <v/>
      </c>
    </row>
    <row r="62">
      <c r="A62" s="4">
        <f>IF(B62="","",COUNT($B$3:B62))</f>
        <v/>
      </c>
      <c r="B62" s="5" t="n"/>
      <c r="C62" s="6" t="n"/>
      <c r="D62" s="6" t="n"/>
      <c r="E62" s="6" t="n"/>
      <c r="F62" s="6" t="n"/>
      <c r="G62" s="7" t="n"/>
      <c r="H62" s="7" t="n"/>
      <c r="I62" s="7" t="n"/>
      <c r="J62" s="7" t="n"/>
      <c r="K62" s="8">
        <f>IF(OR(G62="",H62="",J62=""),"",IF(F62="LONG",(J62-G62)/(G62-H62),(G62-J62)/(H62-G62)))</f>
        <v/>
      </c>
      <c r="L62" s="9" t="n"/>
      <c r="M62" s="8">
        <f>IF(OR(K62="",L62=""),"",K62*L62)</f>
        <v/>
      </c>
      <c r="N62" s="6" t="n"/>
      <c r="O62" s="10">
        <f>IF(M62="","",IF(ROW()=3,M62,N(O61)+M62))</f>
        <v/>
      </c>
      <c r="P62" s="10">
        <f>IF(O62="","",IF(ROW()=3,MAX(0,O62),MAX(N(P61),O62)))</f>
        <v/>
      </c>
      <c r="Q62" s="10">
        <f>IF(O62="","",P62-O62)</f>
        <v/>
      </c>
      <c r="R62" s="11">
        <f>IF(K62="","",IF(K62&lt;0,IF(ROW()=3,1,N(R61)+1),0))</f>
        <v/>
      </c>
    </row>
    <row r="63">
      <c r="A63" s="4">
        <f>IF(B63="","",COUNT($B$3:B63))</f>
        <v/>
      </c>
      <c r="B63" s="5" t="n"/>
      <c r="C63" s="6" t="n"/>
      <c r="D63" s="6" t="n"/>
      <c r="E63" s="6" t="n"/>
      <c r="F63" s="6" t="n"/>
      <c r="G63" s="7" t="n"/>
      <c r="H63" s="7" t="n"/>
      <c r="I63" s="7" t="n"/>
      <c r="J63" s="7" t="n"/>
      <c r="K63" s="8">
        <f>IF(OR(G63="",H63="",J63=""),"",IF(F63="LONG",(J63-G63)/(G63-H63),(G63-J63)/(H63-G63)))</f>
        <v/>
      </c>
      <c r="L63" s="9" t="n"/>
      <c r="M63" s="8">
        <f>IF(OR(K63="",L63=""),"",K63*L63)</f>
        <v/>
      </c>
      <c r="N63" s="6" t="n"/>
      <c r="O63" s="10">
        <f>IF(M63="","",IF(ROW()=3,M63,N(O62)+M63))</f>
        <v/>
      </c>
      <c r="P63" s="10">
        <f>IF(O63="","",IF(ROW()=3,MAX(0,O63),MAX(N(P62),O63)))</f>
        <v/>
      </c>
      <c r="Q63" s="10">
        <f>IF(O63="","",P63-O63)</f>
        <v/>
      </c>
      <c r="R63" s="11">
        <f>IF(K63="","",IF(K63&lt;0,IF(ROW()=3,1,N(R62)+1),0))</f>
        <v/>
      </c>
    </row>
    <row r="64">
      <c r="A64" s="4">
        <f>IF(B64="","",COUNT($B$3:B64))</f>
        <v/>
      </c>
      <c r="B64" s="5" t="n"/>
      <c r="C64" s="6" t="n"/>
      <c r="D64" s="6" t="n"/>
      <c r="E64" s="6" t="n"/>
      <c r="F64" s="6" t="n"/>
      <c r="G64" s="7" t="n"/>
      <c r="H64" s="7" t="n"/>
      <c r="I64" s="7" t="n"/>
      <c r="J64" s="7" t="n"/>
      <c r="K64" s="8">
        <f>IF(OR(G64="",H64="",J64=""),"",IF(F64="LONG",(J64-G64)/(G64-H64),(G64-J64)/(H64-G64)))</f>
        <v/>
      </c>
      <c r="L64" s="9" t="n"/>
      <c r="M64" s="8">
        <f>IF(OR(K64="",L64=""),"",K64*L64)</f>
        <v/>
      </c>
      <c r="N64" s="6" t="n"/>
      <c r="O64" s="10">
        <f>IF(M64="","",IF(ROW()=3,M64,N(O63)+M64))</f>
        <v/>
      </c>
      <c r="P64" s="10">
        <f>IF(O64="","",IF(ROW()=3,MAX(0,O64),MAX(N(P63),O64)))</f>
        <v/>
      </c>
      <c r="Q64" s="10">
        <f>IF(O64="","",P64-O64)</f>
        <v/>
      </c>
      <c r="R64" s="11">
        <f>IF(K64="","",IF(K64&lt;0,IF(ROW()=3,1,N(R63)+1),0))</f>
        <v/>
      </c>
    </row>
    <row r="65">
      <c r="A65" s="4">
        <f>IF(B65="","",COUNT($B$3:B65))</f>
        <v/>
      </c>
      <c r="B65" s="5" t="n"/>
      <c r="C65" s="6" t="n"/>
      <c r="D65" s="6" t="n"/>
      <c r="E65" s="6" t="n"/>
      <c r="F65" s="6" t="n"/>
      <c r="G65" s="7" t="n"/>
      <c r="H65" s="7" t="n"/>
      <c r="I65" s="7" t="n"/>
      <c r="J65" s="7" t="n"/>
      <c r="K65" s="8">
        <f>IF(OR(G65="",H65="",J65=""),"",IF(F65="LONG",(J65-G65)/(G65-H65),(G65-J65)/(H65-G65)))</f>
        <v/>
      </c>
      <c r="L65" s="9" t="n"/>
      <c r="M65" s="8">
        <f>IF(OR(K65="",L65=""),"",K65*L65)</f>
        <v/>
      </c>
      <c r="N65" s="6" t="n"/>
      <c r="O65" s="10">
        <f>IF(M65="","",IF(ROW()=3,M65,N(O64)+M65))</f>
        <v/>
      </c>
      <c r="P65" s="10">
        <f>IF(O65="","",IF(ROW()=3,MAX(0,O65),MAX(N(P64),O65)))</f>
        <v/>
      </c>
      <c r="Q65" s="10">
        <f>IF(O65="","",P65-O65)</f>
        <v/>
      </c>
      <c r="R65" s="11">
        <f>IF(K65="","",IF(K65&lt;0,IF(ROW()=3,1,N(R64)+1),0))</f>
        <v/>
      </c>
    </row>
    <row r="66">
      <c r="A66" s="4">
        <f>IF(B66="","",COUNT($B$3:B66))</f>
        <v/>
      </c>
      <c r="B66" s="5" t="n"/>
      <c r="C66" s="6" t="n"/>
      <c r="D66" s="6" t="n"/>
      <c r="E66" s="6" t="n"/>
      <c r="F66" s="6" t="n"/>
      <c r="G66" s="7" t="n"/>
      <c r="H66" s="7" t="n"/>
      <c r="I66" s="7" t="n"/>
      <c r="J66" s="7" t="n"/>
      <c r="K66" s="8">
        <f>IF(OR(G66="",H66="",J66=""),"",IF(F66="LONG",(J66-G66)/(G66-H66),(G66-J66)/(H66-G66)))</f>
        <v/>
      </c>
      <c r="L66" s="9" t="n"/>
      <c r="M66" s="8">
        <f>IF(OR(K66="",L66=""),"",K66*L66)</f>
        <v/>
      </c>
      <c r="N66" s="6" t="n"/>
      <c r="O66" s="10">
        <f>IF(M66="","",IF(ROW()=3,M66,N(O65)+M66))</f>
        <v/>
      </c>
      <c r="P66" s="10">
        <f>IF(O66="","",IF(ROW()=3,MAX(0,O66),MAX(N(P65),O66)))</f>
        <v/>
      </c>
      <c r="Q66" s="10">
        <f>IF(O66="","",P66-O66)</f>
        <v/>
      </c>
      <c r="R66" s="11">
        <f>IF(K66="","",IF(K66&lt;0,IF(ROW()=3,1,N(R65)+1),0))</f>
        <v/>
      </c>
    </row>
    <row r="67">
      <c r="A67" s="4">
        <f>IF(B67="","",COUNT($B$3:B67))</f>
        <v/>
      </c>
      <c r="B67" s="5" t="n"/>
      <c r="C67" s="6" t="n"/>
      <c r="D67" s="6" t="n"/>
      <c r="E67" s="6" t="n"/>
      <c r="F67" s="6" t="n"/>
      <c r="G67" s="7" t="n"/>
      <c r="H67" s="7" t="n"/>
      <c r="I67" s="7" t="n"/>
      <c r="J67" s="7" t="n"/>
      <c r="K67" s="8">
        <f>IF(OR(G67="",H67="",J67=""),"",IF(F67="LONG",(J67-G67)/(G67-H67),(G67-J67)/(H67-G67)))</f>
        <v/>
      </c>
      <c r="L67" s="9" t="n"/>
      <c r="M67" s="8">
        <f>IF(OR(K67="",L67=""),"",K67*L67)</f>
        <v/>
      </c>
      <c r="N67" s="6" t="n"/>
      <c r="O67" s="10">
        <f>IF(M67="","",IF(ROW()=3,M67,N(O66)+M67))</f>
        <v/>
      </c>
      <c r="P67" s="10">
        <f>IF(O67="","",IF(ROW()=3,MAX(0,O67),MAX(N(P66),O67)))</f>
        <v/>
      </c>
      <c r="Q67" s="10">
        <f>IF(O67="","",P67-O67)</f>
        <v/>
      </c>
      <c r="R67" s="11">
        <f>IF(K67="","",IF(K67&lt;0,IF(ROW()=3,1,N(R66)+1),0))</f>
        <v/>
      </c>
    </row>
    <row r="68">
      <c r="A68" s="4">
        <f>IF(B68="","",COUNT($B$3:B68))</f>
        <v/>
      </c>
      <c r="B68" s="5" t="n"/>
      <c r="C68" s="6" t="n"/>
      <c r="D68" s="6" t="n"/>
      <c r="E68" s="6" t="n"/>
      <c r="F68" s="6" t="n"/>
      <c r="G68" s="7" t="n"/>
      <c r="H68" s="7" t="n"/>
      <c r="I68" s="7" t="n"/>
      <c r="J68" s="7" t="n"/>
      <c r="K68" s="8">
        <f>IF(OR(G68="",H68="",J68=""),"",IF(F68="LONG",(J68-G68)/(G68-H68),(G68-J68)/(H68-G68)))</f>
        <v/>
      </c>
      <c r="L68" s="9" t="n"/>
      <c r="M68" s="8">
        <f>IF(OR(K68="",L68=""),"",K68*L68)</f>
        <v/>
      </c>
      <c r="N68" s="6" t="n"/>
      <c r="O68" s="10">
        <f>IF(M68="","",IF(ROW()=3,M68,N(O67)+M68))</f>
        <v/>
      </c>
      <c r="P68" s="10">
        <f>IF(O68="","",IF(ROW()=3,MAX(0,O68),MAX(N(P67),O68)))</f>
        <v/>
      </c>
      <c r="Q68" s="10">
        <f>IF(O68="","",P68-O68)</f>
        <v/>
      </c>
      <c r="R68" s="11">
        <f>IF(K68="","",IF(K68&lt;0,IF(ROW()=3,1,N(R67)+1),0))</f>
        <v/>
      </c>
    </row>
    <row r="69">
      <c r="A69" s="4">
        <f>IF(B69="","",COUNT($B$3:B69))</f>
        <v/>
      </c>
      <c r="B69" s="5" t="n"/>
      <c r="C69" s="6" t="n"/>
      <c r="D69" s="6" t="n"/>
      <c r="E69" s="6" t="n"/>
      <c r="F69" s="6" t="n"/>
      <c r="G69" s="7" t="n"/>
      <c r="H69" s="7" t="n"/>
      <c r="I69" s="7" t="n"/>
      <c r="J69" s="7" t="n"/>
      <c r="K69" s="8">
        <f>IF(OR(G69="",H69="",J69=""),"",IF(F69="LONG",(J69-G69)/(G69-H69),(G69-J69)/(H69-G69)))</f>
        <v/>
      </c>
      <c r="L69" s="9" t="n"/>
      <c r="M69" s="8">
        <f>IF(OR(K69="",L69=""),"",K69*L69)</f>
        <v/>
      </c>
      <c r="N69" s="6" t="n"/>
      <c r="O69" s="10">
        <f>IF(M69="","",IF(ROW()=3,M69,N(O68)+M69))</f>
        <v/>
      </c>
      <c r="P69" s="10">
        <f>IF(O69="","",IF(ROW()=3,MAX(0,O69),MAX(N(P68),O69)))</f>
        <v/>
      </c>
      <c r="Q69" s="10">
        <f>IF(O69="","",P69-O69)</f>
        <v/>
      </c>
      <c r="R69" s="11">
        <f>IF(K69="","",IF(K69&lt;0,IF(ROW()=3,1,N(R68)+1),0))</f>
        <v/>
      </c>
    </row>
    <row r="70">
      <c r="A70" s="4">
        <f>IF(B70="","",COUNT($B$3:B70))</f>
        <v/>
      </c>
      <c r="B70" s="5" t="n"/>
      <c r="C70" s="6" t="n"/>
      <c r="D70" s="6" t="n"/>
      <c r="E70" s="6" t="n"/>
      <c r="F70" s="6" t="n"/>
      <c r="G70" s="7" t="n"/>
      <c r="H70" s="7" t="n"/>
      <c r="I70" s="7" t="n"/>
      <c r="J70" s="7" t="n"/>
      <c r="K70" s="8">
        <f>IF(OR(G70="",H70="",J70=""),"",IF(F70="LONG",(J70-G70)/(G70-H70),(G70-J70)/(H70-G70)))</f>
        <v/>
      </c>
      <c r="L70" s="9" t="n"/>
      <c r="M70" s="8">
        <f>IF(OR(K70="",L70=""),"",K70*L70)</f>
        <v/>
      </c>
      <c r="N70" s="6" t="n"/>
      <c r="O70" s="10">
        <f>IF(M70="","",IF(ROW()=3,M70,N(O69)+M70))</f>
        <v/>
      </c>
      <c r="P70" s="10">
        <f>IF(O70="","",IF(ROW()=3,MAX(0,O70),MAX(N(P69),O70)))</f>
        <v/>
      </c>
      <c r="Q70" s="10">
        <f>IF(O70="","",P70-O70)</f>
        <v/>
      </c>
      <c r="R70" s="11">
        <f>IF(K70="","",IF(K70&lt;0,IF(ROW()=3,1,N(R69)+1),0))</f>
        <v/>
      </c>
    </row>
    <row r="71">
      <c r="A71" s="4">
        <f>IF(B71="","",COUNT($B$3:B71))</f>
        <v/>
      </c>
      <c r="B71" s="5" t="n"/>
      <c r="C71" s="6" t="n"/>
      <c r="D71" s="6" t="n"/>
      <c r="E71" s="6" t="n"/>
      <c r="F71" s="6" t="n"/>
      <c r="G71" s="7" t="n"/>
      <c r="H71" s="7" t="n"/>
      <c r="I71" s="7" t="n"/>
      <c r="J71" s="7" t="n"/>
      <c r="K71" s="8">
        <f>IF(OR(G71="",H71="",J71=""),"",IF(F71="LONG",(J71-G71)/(G71-H71),(G71-J71)/(H71-G71)))</f>
        <v/>
      </c>
      <c r="L71" s="9" t="n"/>
      <c r="M71" s="8">
        <f>IF(OR(K71="",L71=""),"",K71*L71)</f>
        <v/>
      </c>
      <c r="N71" s="6" t="n"/>
      <c r="O71" s="10">
        <f>IF(M71="","",IF(ROW()=3,M71,N(O70)+M71))</f>
        <v/>
      </c>
      <c r="P71" s="10">
        <f>IF(O71="","",IF(ROW()=3,MAX(0,O71),MAX(N(P70),O71)))</f>
        <v/>
      </c>
      <c r="Q71" s="10">
        <f>IF(O71="","",P71-O71)</f>
        <v/>
      </c>
      <c r="R71" s="11">
        <f>IF(K71="","",IF(K71&lt;0,IF(ROW()=3,1,N(R70)+1),0))</f>
        <v/>
      </c>
    </row>
    <row r="72">
      <c r="A72" s="4">
        <f>IF(B72="","",COUNT($B$3:B72))</f>
        <v/>
      </c>
      <c r="B72" s="5" t="n"/>
      <c r="C72" s="6" t="n"/>
      <c r="D72" s="6" t="n"/>
      <c r="E72" s="6" t="n"/>
      <c r="F72" s="6" t="n"/>
      <c r="G72" s="7" t="n"/>
      <c r="H72" s="7" t="n"/>
      <c r="I72" s="7" t="n"/>
      <c r="J72" s="7" t="n"/>
      <c r="K72" s="8">
        <f>IF(OR(G72="",H72="",J72=""),"",IF(F72="LONG",(J72-G72)/(G72-H72),(G72-J72)/(H72-G72)))</f>
        <v/>
      </c>
      <c r="L72" s="9" t="n"/>
      <c r="M72" s="8">
        <f>IF(OR(K72="",L72=""),"",K72*L72)</f>
        <v/>
      </c>
      <c r="N72" s="6" t="n"/>
      <c r="O72" s="10">
        <f>IF(M72="","",IF(ROW()=3,M72,N(O71)+M72))</f>
        <v/>
      </c>
      <c r="P72" s="10">
        <f>IF(O72="","",IF(ROW()=3,MAX(0,O72),MAX(N(P71),O72)))</f>
        <v/>
      </c>
      <c r="Q72" s="10">
        <f>IF(O72="","",P72-O72)</f>
        <v/>
      </c>
      <c r="R72" s="11">
        <f>IF(K72="","",IF(K72&lt;0,IF(ROW()=3,1,N(R71)+1),0))</f>
        <v/>
      </c>
    </row>
    <row r="73">
      <c r="A73" s="4">
        <f>IF(B73="","",COUNT($B$3:B73))</f>
        <v/>
      </c>
      <c r="B73" s="5" t="n"/>
      <c r="C73" s="6" t="n"/>
      <c r="D73" s="6" t="n"/>
      <c r="E73" s="6" t="n"/>
      <c r="F73" s="6" t="n"/>
      <c r="G73" s="7" t="n"/>
      <c r="H73" s="7" t="n"/>
      <c r="I73" s="7" t="n"/>
      <c r="J73" s="7" t="n"/>
      <c r="K73" s="8">
        <f>IF(OR(G73="",H73="",J73=""),"",IF(F73="LONG",(J73-G73)/(G73-H73),(G73-J73)/(H73-G73)))</f>
        <v/>
      </c>
      <c r="L73" s="9" t="n"/>
      <c r="M73" s="8">
        <f>IF(OR(K73="",L73=""),"",K73*L73)</f>
        <v/>
      </c>
      <c r="N73" s="6" t="n"/>
      <c r="O73" s="10">
        <f>IF(M73="","",IF(ROW()=3,M73,N(O72)+M73))</f>
        <v/>
      </c>
      <c r="P73" s="10">
        <f>IF(O73="","",IF(ROW()=3,MAX(0,O73),MAX(N(P72),O73)))</f>
        <v/>
      </c>
      <c r="Q73" s="10">
        <f>IF(O73="","",P73-O73)</f>
        <v/>
      </c>
      <c r="R73" s="11">
        <f>IF(K73="","",IF(K73&lt;0,IF(ROW()=3,1,N(R72)+1),0))</f>
        <v/>
      </c>
    </row>
    <row r="74">
      <c r="A74" s="4">
        <f>IF(B74="","",COUNT($B$3:B74))</f>
        <v/>
      </c>
      <c r="B74" s="5" t="n"/>
      <c r="C74" s="6" t="n"/>
      <c r="D74" s="6" t="n"/>
      <c r="E74" s="6" t="n"/>
      <c r="F74" s="6" t="n"/>
      <c r="G74" s="7" t="n"/>
      <c r="H74" s="7" t="n"/>
      <c r="I74" s="7" t="n"/>
      <c r="J74" s="7" t="n"/>
      <c r="K74" s="8">
        <f>IF(OR(G74="",H74="",J74=""),"",IF(F74="LONG",(J74-G74)/(G74-H74),(G74-J74)/(H74-G74)))</f>
        <v/>
      </c>
      <c r="L74" s="9" t="n"/>
      <c r="M74" s="8">
        <f>IF(OR(K74="",L74=""),"",K74*L74)</f>
        <v/>
      </c>
      <c r="N74" s="6" t="n"/>
      <c r="O74" s="10">
        <f>IF(M74="","",IF(ROW()=3,M74,N(O73)+M74))</f>
        <v/>
      </c>
      <c r="P74" s="10">
        <f>IF(O74="","",IF(ROW()=3,MAX(0,O74),MAX(N(P73),O74)))</f>
        <v/>
      </c>
      <c r="Q74" s="10">
        <f>IF(O74="","",P74-O74)</f>
        <v/>
      </c>
      <c r="R74" s="11">
        <f>IF(K74="","",IF(K74&lt;0,IF(ROW()=3,1,N(R73)+1),0))</f>
        <v/>
      </c>
    </row>
    <row r="75">
      <c r="A75" s="4">
        <f>IF(B75="","",COUNT($B$3:B75))</f>
        <v/>
      </c>
      <c r="B75" s="5" t="n"/>
      <c r="C75" s="6" t="n"/>
      <c r="D75" s="6" t="n"/>
      <c r="E75" s="6" t="n"/>
      <c r="F75" s="6" t="n"/>
      <c r="G75" s="7" t="n"/>
      <c r="H75" s="7" t="n"/>
      <c r="I75" s="7" t="n"/>
      <c r="J75" s="7" t="n"/>
      <c r="K75" s="8">
        <f>IF(OR(G75="",H75="",J75=""),"",IF(F75="LONG",(J75-G75)/(G75-H75),(G75-J75)/(H75-G75)))</f>
        <v/>
      </c>
      <c r="L75" s="9" t="n"/>
      <c r="M75" s="8">
        <f>IF(OR(K75="",L75=""),"",K75*L75)</f>
        <v/>
      </c>
      <c r="N75" s="6" t="n"/>
      <c r="O75" s="10">
        <f>IF(M75="","",IF(ROW()=3,M75,N(O74)+M75))</f>
        <v/>
      </c>
      <c r="P75" s="10">
        <f>IF(O75="","",IF(ROW()=3,MAX(0,O75),MAX(N(P74),O75)))</f>
        <v/>
      </c>
      <c r="Q75" s="10">
        <f>IF(O75="","",P75-O75)</f>
        <v/>
      </c>
      <c r="R75" s="11">
        <f>IF(K75="","",IF(K75&lt;0,IF(ROW()=3,1,N(R74)+1),0))</f>
        <v/>
      </c>
    </row>
    <row r="76">
      <c r="A76" s="4">
        <f>IF(B76="","",COUNT($B$3:B76))</f>
        <v/>
      </c>
      <c r="B76" s="5" t="n"/>
      <c r="C76" s="6" t="n"/>
      <c r="D76" s="6" t="n"/>
      <c r="E76" s="6" t="n"/>
      <c r="F76" s="6" t="n"/>
      <c r="G76" s="7" t="n"/>
      <c r="H76" s="7" t="n"/>
      <c r="I76" s="7" t="n"/>
      <c r="J76" s="7" t="n"/>
      <c r="K76" s="8">
        <f>IF(OR(G76="",H76="",J76=""),"",IF(F76="LONG",(J76-G76)/(G76-H76),(G76-J76)/(H76-G76)))</f>
        <v/>
      </c>
      <c r="L76" s="9" t="n"/>
      <c r="M76" s="8">
        <f>IF(OR(K76="",L76=""),"",K76*L76)</f>
        <v/>
      </c>
      <c r="N76" s="6" t="n"/>
      <c r="O76" s="10">
        <f>IF(M76="","",IF(ROW()=3,M76,N(O75)+M76))</f>
        <v/>
      </c>
      <c r="P76" s="10">
        <f>IF(O76="","",IF(ROW()=3,MAX(0,O76),MAX(N(P75),O76)))</f>
        <v/>
      </c>
      <c r="Q76" s="10">
        <f>IF(O76="","",P76-O76)</f>
        <v/>
      </c>
      <c r="R76" s="11">
        <f>IF(K76="","",IF(K76&lt;0,IF(ROW()=3,1,N(R75)+1),0))</f>
        <v/>
      </c>
    </row>
    <row r="77">
      <c r="A77" s="4">
        <f>IF(B77="","",COUNT($B$3:B77))</f>
        <v/>
      </c>
      <c r="B77" s="5" t="n"/>
      <c r="C77" s="6" t="n"/>
      <c r="D77" s="6" t="n"/>
      <c r="E77" s="6" t="n"/>
      <c r="F77" s="6" t="n"/>
      <c r="G77" s="7" t="n"/>
      <c r="H77" s="7" t="n"/>
      <c r="I77" s="7" t="n"/>
      <c r="J77" s="7" t="n"/>
      <c r="K77" s="8">
        <f>IF(OR(G77="",H77="",J77=""),"",IF(F77="LONG",(J77-G77)/(G77-H77),(G77-J77)/(H77-G77)))</f>
        <v/>
      </c>
      <c r="L77" s="9" t="n"/>
      <c r="M77" s="8">
        <f>IF(OR(K77="",L77=""),"",K77*L77)</f>
        <v/>
      </c>
      <c r="N77" s="6" t="n"/>
      <c r="O77" s="10">
        <f>IF(M77="","",IF(ROW()=3,M77,N(O76)+M77))</f>
        <v/>
      </c>
      <c r="P77" s="10">
        <f>IF(O77="","",IF(ROW()=3,MAX(0,O77),MAX(N(P76),O77)))</f>
        <v/>
      </c>
      <c r="Q77" s="10">
        <f>IF(O77="","",P77-O77)</f>
        <v/>
      </c>
      <c r="R77" s="11">
        <f>IF(K77="","",IF(K77&lt;0,IF(ROW()=3,1,N(R76)+1),0))</f>
        <v/>
      </c>
    </row>
    <row r="78">
      <c r="A78" s="4">
        <f>IF(B78="","",COUNT($B$3:B78))</f>
        <v/>
      </c>
      <c r="B78" s="5" t="n"/>
      <c r="C78" s="6" t="n"/>
      <c r="D78" s="6" t="n"/>
      <c r="E78" s="6" t="n"/>
      <c r="F78" s="6" t="n"/>
      <c r="G78" s="7" t="n"/>
      <c r="H78" s="7" t="n"/>
      <c r="I78" s="7" t="n"/>
      <c r="J78" s="7" t="n"/>
      <c r="K78" s="8">
        <f>IF(OR(G78="",H78="",J78=""),"",IF(F78="LONG",(J78-G78)/(G78-H78),(G78-J78)/(H78-G78)))</f>
        <v/>
      </c>
      <c r="L78" s="9" t="n"/>
      <c r="M78" s="8">
        <f>IF(OR(K78="",L78=""),"",K78*L78)</f>
        <v/>
      </c>
      <c r="N78" s="6" t="n"/>
      <c r="O78" s="10">
        <f>IF(M78="","",IF(ROW()=3,M78,N(O77)+M78))</f>
        <v/>
      </c>
      <c r="P78" s="10">
        <f>IF(O78="","",IF(ROW()=3,MAX(0,O78),MAX(N(P77),O78)))</f>
        <v/>
      </c>
      <c r="Q78" s="10">
        <f>IF(O78="","",P78-O78)</f>
        <v/>
      </c>
      <c r="R78" s="11">
        <f>IF(K78="","",IF(K78&lt;0,IF(ROW()=3,1,N(R77)+1),0))</f>
        <v/>
      </c>
    </row>
    <row r="79">
      <c r="A79" s="4">
        <f>IF(B79="","",COUNT($B$3:B79))</f>
        <v/>
      </c>
      <c r="B79" s="5" t="n"/>
      <c r="C79" s="6" t="n"/>
      <c r="D79" s="6" t="n"/>
      <c r="E79" s="6" t="n"/>
      <c r="F79" s="6" t="n"/>
      <c r="G79" s="7" t="n"/>
      <c r="H79" s="7" t="n"/>
      <c r="I79" s="7" t="n"/>
      <c r="J79" s="7" t="n"/>
      <c r="K79" s="8">
        <f>IF(OR(G79="",H79="",J79=""),"",IF(F79="LONG",(J79-G79)/(G79-H79),(G79-J79)/(H79-G79)))</f>
        <v/>
      </c>
      <c r="L79" s="9" t="n"/>
      <c r="M79" s="8">
        <f>IF(OR(K79="",L79=""),"",K79*L79)</f>
        <v/>
      </c>
      <c r="N79" s="6" t="n"/>
      <c r="O79" s="10">
        <f>IF(M79="","",IF(ROW()=3,M79,N(O78)+M79))</f>
        <v/>
      </c>
      <c r="P79" s="10">
        <f>IF(O79="","",IF(ROW()=3,MAX(0,O79),MAX(N(P78),O79)))</f>
        <v/>
      </c>
      <c r="Q79" s="10">
        <f>IF(O79="","",P79-O79)</f>
        <v/>
      </c>
      <c r="R79" s="11">
        <f>IF(K79="","",IF(K79&lt;0,IF(ROW()=3,1,N(R78)+1),0))</f>
        <v/>
      </c>
    </row>
    <row r="80">
      <c r="A80" s="4">
        <f>IF(B80="","",COUNT($B$3:B80))</f>
        <v/>
      </c>
      <c r="B80" s="5" t="n"/>
      <c r="C80" s="6" t="n"/>
      <c r="D80" s="6" t="n"/>
      <c r="E80" s="6" t="n"/>
      <c r="F80" s="6" t="n"/>
      <c r="G80" s="7" t="n"/>
      <c r="H80" s="7" t="n"/>
      <c r="I80" s="7" t="n"/>
      <c r="J80" s="7" t="n"/>
      <c r="K80" s="8">
        <f>IF(OR(G80="",H80="",J80=""),"",IF(F80="LONG",(J80-G80)/(G80-H80),(G80-J80)/(H80-G80)))</f>
        <v/>
      </c>
      <c r="L80" s="9" t="n"/>
      <c r="M80" s="8">
        <f>IF(OR(K80="",L80=""),"",K80*L80)</f>
        <v/>
      </c>
      <c r="N80" s="6" t="n"/>
      <c r="O80" s="10">
        <f>IF(M80="","",IF(ROW()=3,M80,N(O79)+M80))</f>
        <v/>
      </c>
      <c r="P80" s="10">
        <f>IF(O80="","",IF(ROW()=3,MAX(0,O80),MAX(N(P79),O80)))</f>
        <v/>
      </c>
      <c r="Q80" s="10">
        <f>IF(O80="","",P80-O80)</f>
        <v/>
      </c>
      <c r="R80" s="11">
        <f>IF(K80="","",IF(K80&lt;0,IF(ROW()=3,1,N(R79)+1),0))</f>
        <v/>
      </c>
    </row>
    <row r="81">
      <c r="A81" s="4">
        <f>IF(B81="","",COUNT($B$3:B81))</f>
        <v/>
      </c>
      <c r="B81" s="5" t="n"/>
      <c r="C81" s="6" t="n"/>
      <c r="D81" s="6" t="n"/>
      <c r="E81" s="6" t="n"/>
      <c r="F81" s="6" t="n"/>
      <c r="G81" s="7" t="n"/>
      <c r="H81" s="7" t="n"/>
      <c r="I81" s="7" t="n"/>
      <c r="J81" s="7" t="n"/>
      <c r="K81" s="8">
        <f>IF(OR(G81="",H81="",J81=""),"",IF(F81="LONG",(J81-G81)/(G81-H81),(G81-J81)/(H81-G81)))</f>
        <v/>
      </c>
      <c r="L81" s="9" t="n"/>
      <c r="M81" s="8">
        <f>IF(OR(K81="",L81=""),"",K81*L81)</f>
        <v/>
      </c>
      <c r="N81" s="6" t="n"/>
      <c r="O81" s="10">
        <f>IF(M81="","",IF(ROW()=3,M81,N(O80)+M81))</f>
        <v/>
      </c>
      <c r="P81" s="10">
        <f>IF(O81="","",IF(ROW()=3,MAX(0,O81),MAX(N(P80),O81)))</f>
        <v/>
      </c>
      <c r="Q81" s="10">
        <f>IF(O81="","",P81-O81)</f>
        <v/>
      </c>
      <c r="R81" s="11">
        <f>IF(K81="","",IF(K81&lt;0,IF(ROW()=3,1,N(R80)+1),0))</f>
        <v/>
      </c>
    </row>
    <row r="82">
      <c r="A82" s="4">
        <f>IF(B82="","",COUNT($B$3:B82))</f>
        <v/>
      </c>
      <c r="B82" s="5" t="n"/>
      <c r="C82" s="6" t="n"/>
      <c r="D82" s="6" t="n"/>
      <c r="E82" s="6" t="n"/>
      <c r="F82" s="6" t="n"/>
      <c r="G82" s="7" t="n"/>
      <c r="H82" s="7" t="n"/>
      <c r="I82" s="7" t="n"/>
      <c r="J82" s="7" t="n"/>
      <c r="K82" s="8">
        <f>IF(OR(G82="",H82="",J82=""),"",IF(F82="LONG",(J82-G82)/(G82-H82),(G82-J82)/(H82-G82)))</f>
        <v/>
      </c>
      <c r="L82" s="9" t="n"/>
      <c r="M82" s="8">
        <f>IF(OR(K82="",L82=""),"",K82*L82)</f>
        <v/>
      </c>
      <c r="N82" s="6" t="n"/>
      <c r="O82" s="10">
        <f>IF(M82="","",IF(ROW()=3,M82,N(O81)+M82))</f>
        <v/>
      </c>
      <c r="P82" s="10">
        <f>IF(O82="","",IF(ROW()=3,MAX(0,O82),MAX(N(P81),O82)))</f>
        <v/>
      </c>
      <c r="Q82" s="10">
        <f>IF(O82="","",P82-O82)</f>
        <v/>
      </c>
      <c r="R82" s="11">
        <f>IF(K82="","",IF(K82&lt;0,IF(ROW()=3,1,N(R81)+1),0))</f>
        <v/>
      </c>
    </row>
    <row r="83">
      <c r="A83" s="4">
        <f>IF(B83="","",COUNT($B$3:B83))</f>
        <v/>
      </c>
      <c r="B83" s="5" t="n"/>
      <c r="C83" s="6" t="n"/>
      <c r="D83" s="6" t="n"/>
      <c r="E83" s="6" t="n"/>
      <c r="F83" s="6" t="n"/>
      <c r="G83" s="7" t="n"/>
      <c r="H83" s="7" t="n"/>
      <c r="I83" s="7" t="n"/>
      <c r="J83" s="7" t="n"/>
      <c r="K83" s="8">
        <f>IF(OR(G83="",H83="",J83=""),"",IF(F83="LONG",(J83-G83)/(G83-H83),(G83-J83)/(H83-G83)))</f>
        <v/>
      </c>
      <c r="L83" s="9" t="n"/>
      <c r="M83" s="8">
        <f>IF(OR(K83="",L83=""),"",K83*L83)</f>
        <v/>
      </c>
      <c r="N83" s="6" t="n"/>
      <c r="O83" s="10">
        <f>IF(M83="","",IF(ROW()=3,M83,N(O82)+M83))</f>
        <v/>
      </c>
      <c r="P83" s="10">
        <f>IF(O83="","",IF(ROW()=3,MAX(0,O83),MAX(N(P82),O83)))</f>
        <v/>
      </c>
      <c r="Q83" s="10">
        <f>IF(O83="","",P83-O83)</f>
        <v/>
      </c>
      <c r="R83" s="11">
        <f>IF(K83="","",IF(K83&lt;0,IF(ROW()=3,1,N(R82)+1),0))</f>
        <v/>
      </c>
    </row>
    <row r="84">
      <c r="A84" s="4">
        <f>IF(B84="","",COUNT($B$3:B84))</f>
        <v/>
      </c>
      <c r="B84" s="5" t="n"/>
      <c r="C84" s="6" t="n"/>
      <c r="D84" s="6" t="n"/>
      <c r="E84" s="6" t="n"/>
      <c r="F84" s="6" t="n"/>
      <c r="G84" s="7" t="n"/>
      <c r="H84" s="7" t="n"/>
      <c r="I84" s="7" t="n"/>
      <c r="J84" s="7" t="n"/>
      <c r="K84" s="8">
        <f>IF(OR(G84="",H84="",J84=""),"",IF(F84="LONG",(J84-G84)/(G84-H84),(G84-J84)/(H84-G84)))</f>
        <v/>
      </c>
      <c r="L84" s="9" t="n"/>
      <c r="M84" s="8">
        <f>IF(OR(K84="",L84=""),"",K84*L84)</f>
        <v/>
      </c>
      <c r="N84" s="6" t="n"/>
      <c r="O84" s="10">
        <f>IF(M84="","",IF(ROW()=3,M84,N(O83)+M84))</f>
        <v/>
      </c>
      <c r="P84" s="10">
        <f>IF(O84="","",IF(ROW()=3,MAX(0,O84),MAX(N(P83),O84)))</f>
        <v/>
      </c>
      <c r="Q84" s="10">
        <f>IF(O84="","",P84-O84)</f>
        <v/>
      </c>
      <c r="R84" s="11">
        <f>IF(K84="","",IF(K84&lt;0,IF(ROW()=3,1,N(R83)+1),0))</f>
        <v/>
      </c>
    </row>
    <row r="85">
      <c r="A85" s="4">
        <f>IF(B85="","",COUNT($B$3:B85))</f>
        <v/>
      </c>
      <c r="B85" s="5" t="n"/>
      <c r="C85" s="6" t="n"/>
      <c r="D85" s="6" t="n"/>
      <c r="E85" s="6" t="n"/>
      <c r="F85" s="6" t="n"/>
      <c r="G85" s="7" t="n"/>
      <c r="H85" s="7" t="n"/>
      <c r="I85" s="7" t="n"/>
      <c r="J85" s="7" t="n"/>
      <c r="K85" s="8">
        <f>IF(OR(G85="",H85="",J85=""),"",IF(F85="LONG",(J85-G85)/(G85-H85),(G85-J85)/(H85-G85)))</f>
        <v/>
      </c>
      <c r="L85" s="9" t="n"/>
      <c r="M85" s="8">
        <f>IF(OR(K85="",L85=""),"",K85*L85)</f>
        <v/>
      </c>
      <c r="N85" s="6" t="n"/>
      <c r="O85" s="10">
        <f>IF(M85="","",IF(ROW()=3,M85,N(O84)+M85))</f>
        <v/>
      </c>
      <c r="P85" s="10">
        <f>IF(O85="","",IF(ROW()=3,MAX(0,O85),MAX(N(P84),O85)))</f>
        <v/>
      </c>
      <c r="Q85" s="10">
        <f>IF(O85="","",P85-O85)</f>
        <v/>
      </c>
      <c r="R85" s="11">
        <f>IF(K85="","",IF(K85&lt;0,IF(ROW()=3,1,N(R84)+1),0))</f>
        <v/>
      </c>
    </row>
    <row r="86">
      <c r="A86" s="4">
        <f>IF(B86="","",COUNT($B$3:B86))</f>
        <v/>
      </c>
      <c r="B86" s="5" t="n"/>
      <c r="C86" s="6" t="n"/>
      <c r="D86" s="6" t="n"/>
      <c r="E86" s="6" t="n"/>
      <c r="F86" s="6" t="n"/>
      <c r="G86" s="7" t="n"/>
      <c r="H86" s="7" t="n"/>
      <c r="I86" s="7" t="n"/>
      <c r="J86" s="7" t="n"/>
      <c r="K86" s="8">
        <f>IF(OR(G86="",H86="",J86=""),"",IF(F86="LONG",(J86-G86)/(G86-H86),(G86-J86)/(H86-G86)))</f>
        <v/>
      </c>
      <c r="L86" s="9" t="n"/>
      <c r="M86" s="8">
        <f>IF(OR(K86="",L86=""),"",K86*L86)</f>
        <v/>
      </c>
      <c r="N86" s="6" t="n"/>
      <c r="O86" s="10">
        <f>IF(M86="","",IF(ROW()=3,M86,N(O85)+M86))</f>
        <v/>
      </c>
      <c r="P86" s="10">
        <f>IF(O86="","",IF(ROW()=3,MAX(0,O86),MAX(N(P85),O86)))</f>
        <v/>
      </c>
      <c r="Q86" s="10">
        <f>IF(O86="","",P86-O86)</f>
        <v/>
      </c>
      <c r="R86" s="11">
        <f>IF(K86="","",IF(K86&lt;0,IF(ROW()=3,1,N(R85)+1),0))</f>
        <v/>
      </c>
    </row>
    <row r="87">
      <c r="A87" s="4">
        <f>IF(B87="","",COUNT($B$3:B87))</f>
        <v/>
      </c>
      <c r="B87" s="5" t="n"/>
      <c r="C87" s="6" t="n"/>
      <c r="D87" s="6" t="n"/>
      <c r="E87" s="6" t="n"/>
      <c r="F87" s="6" t="n"/>
      <c r="G87" s="7" t="n"/>
      <c r="H87" s="7" t="n"/>
      <c r="I87" s="7" t="n"/>
      <c r="J87" s="7" t="n"/>
      <c r="K87" s="8">
        <f>IF(OR(G87="",H87="",J87=""),"",IF(F87="LONG",(J87-G87)/(G87-H87),(G87-J87)/(H87-G87)))</f>
        <v/>
      </c>
      <c r="L87" s="9" t="n"/>
      <c r="M87" s="8">
        <f>IF(OR(K87="",L87=""),"",K87*L87)</f>
        <v/>
      </c>
      <c r="N87" s="6" t="n"/>
      <c r="O87" s="10">
        <f>IF(M87="","",IF(ROW()=3,M87,N(O86)+M87))</f>
        <v/>
      </c>
      <c r="P87" s="10">
        <f>IF(O87="","",IF(ROW()=3,MAX(0,O87),MAX(N(P86),O87)))</f>
        <v/>
      </c>
      <c r="Q87" s="10">
        <f>IF(O87="","",P87-O87)</f>
        <v/>
      </c>
      <c r="R87" s="11">
        <f>IF(K87="","",IF(K87&lt;0,IF(ROW()=3,1,N(R86)+1),0))</f>
        <v/>
      </c>
    </row>
    <row r="88">
      <c r="A88" s="4">
        <f>IF(B88="","",COUNT($B$3:B88))</f>
        <v/>
      </c>
      <c r="B88" s="5" t="n"/>
      <c r="C88" s="6" t="n"/>
      <c r="D88" s="6" t="n"/>
      <c r="E88" s="6" t="n"/>
      <c r="F88" s="6" t="n"/>
      <c r="G88" s="7" t="n"/>
      <c r="H88" s="7" t="n"/>
      <c r="I88" s="7" t="n"/>
      <c r="J88" s="7" t="n"/>
      <c r="K88" s="8">
        <f>IF(OR(G88="",H88="",J88=""),"",IF(F88="LONG",(J88-G88)/(G88-H88),(G88-J88)/(H88-G88)))</f>
        <v/>
      </c>
      <c r="L88" s="9" t="n"/>
      <c r="M88" s="8">
        <f>IF(OR(K88="",L88=""),"",K88*L88)</f>
        <v/>
      </c>
      <c r="N88" s="6" t="n"/>
      <c r="O88" s="10">
        <f>IF(M88="","",IF(ROW()=3,M88,N(O87)+M88))</f>
        <v/>
      </c>
      <c r="P88" s="10">
        <f>IF(O88="","",IF(ROW()=3,MAX(0,O88),MAX(N(P87),O88)))</f>
        <v/>
      </c>
      <c r="Q88" s="10">
        <f>IF(O88="","",P88-O88)</f>
        <v/>
      </c>
      <c r="R88" s="11">
        <f>IF(K88="","",IF(K88&lt;0,IF(ROW()=3,1,N(R87)+1),0))</f>
        <v/>
      </c>
    </row>
    <row r="89">
      <c r="A89" s="4">
        <f>IF(B89="","",COUNT($B$3:B89))</f>
        <v/>
      </c>
      <c r="B89" s="5" t="n"/>
      <c r="C89" s="6" t="n"/>
      <c r="D89" s="6" t="n"/>
      <c r="E89" s="6" t="n"/>
      <c r="F89" s="6" t="n"/>
      <c r="G89" s="7" t="n"/>
      <c r="H89" s="7" t="n"/>
      <c r="I89" s="7" t="n"/>
      <c r="J89" s="7" t="n"/>
      <c r="K89" s="8">
        <f>IF(OR(G89="",H89="",J89=""),"",IF(F89="LONG",(J89-G89)/(G89-H89),(G89-J89)/(H89-G89)))</f>
        <v/>
      </c>
      <c r="L89" s="9" t="n"/>
      <c r="M89" s="8">
        <f>IF(OR(K89="",L89=""),"",K89*L89)</f>
        <v/>
      </c>
      <c r="N89" s="6" t="n"/>
      <c r="O89" s="10">
        <f>IF(M89="","",IF(ROW()=3,M89,N(O88)+M89))</f>
        <v/>
      </c>
      <c r="P89" s="10">
        <f>IF(O89="","",IF(ROW()=3,MAX(0,O89),MAX(N(P88),O89)))</f>
        <v/>
      </c>
      <c r="Q89" s="10">
        <f>IF(O89="","",P89-O89)</f>
        <v/>
      </c>
      <c r="R89" s="11">
        <f>IF(K89="","",IF(K89&lt;0,IF(ROW()=3,1,N(R88)+1),0))</f>
        <v/>
      </c>
    </row>
    <row r="90">
      <c r="A90" s="4">
        <f>IF(B90="","",COUNT($B$3:B90))</f>
        <v/>
      </c>
      <c r="B90" s="5" t="n"/>
      <c r="C90" s="6" t="n"/>
      <c r="D90" s="6" t="n"/>
      <c r="E90" s="6" t="n"/>
      <c r="F90" s="6" t="n"/>
      <c r="G90" s="7" t="n"/>
      <c r="H90" s="7" t="n"/>
      <c r="I90" s="7" t="n"/>
      <c r="J90" s="7" t="n"/>
      <c r="K90" s="8">
        <f>IF(OR(G90="",H90="",J90=""),"",IF(F90="LONG",(J90-G90)/(G90-H90),(G90-J90)/(H90-G90)))</f>
        <v/>
      </c>
      <c r="L90" s="9" t="n"/>
      <c r="M90" s="8">
        <f>IF(OR(K90="",L90=""),"",K90*L90)</f>
        <v/>
      </c>
      <c r="N90" s="6" t="n"/>
      <c r="O90" s="10">
        <f>IF(M90="","",IF(ROW()=3,M90,N(O89)+M90))</f>
        <v/>
      </c>
      <c r="P90" s="10">
        <f>IF(O90="","",IF(ROW()=3,MAX(0,O90),MAX(N(P89),O90)))</f>
        <v/>
      </c>
      <c r="Q90" s="10">
        <f>IF(O90="","",P90-O90)</f>
        <v/>
      </c>
      <c r="R90" s="11">
        <f>IF(K90="","",IF(K90&lt;0,IF(ROW()=3,1,N(R89)+1),0))</f>
        <v/>
      </c>
    </row>
    <row r="91">
      <c r="A91" s="4">
        <f>IF(B91="","",COUNT($B$3:B91))</f>
        <v/>
      </c>
      <c r="B91" s="5" t="n"/>
      <c r="C91" s="6" t="n"/>
      <c r="D91" s="6" t="n"/>
      <c r="E91" s="6" t="n"/>
      <c r="F91" s="6" t="n"/>
      <c r="G91" s="7" t="n"/>
      <c r="H91" s="7" t="n"/>
      <c r="I91" s="7" t="n"/>
      <c r="J91" s="7" t="n"/>
      <c r="K91" s="8">
        <f>IF(OR(G91="",H91="",J91=""),"",IF(F91="LONG",(J91-G91)/(G91-H91),(G91-J91)/(H91-G91)))</f>
        <v/>
      </c>
      <c r="L91" s="9" t="n"/>
      <c r="M91" s="8">
        <f>IF(OR(K91="",L91=""),"",K91*L91)</f>
        <v/>
      </c>
      <c r="N91" s="6" t="n"/>
      <c r="O91" s="10">
        <f>IF(M91="","",IF(ROW()=3,M91,N(O90)+M91))</f>
        <v/>
      </c>
      <c r="P91" s="10">
        <f>IF(O91="","",IF(ROW()=3,MAX(0,O91),MAX(N(P90),O91)))</f>
        <v/>
      </c>
      <c r="Q91" s="10">
        <f>IF(O91="","",P91-O91)</f>
        <v/>
      </c>
      <c r="R91" s="11">
        <f>IF(K91="","",IF(K91&lt;0,IF(ROW()=3,1,N(R90)+1),0))</f>
        <v/>
      </c>
    </row>
    <row r="92">
      <c r="A92" s="4">
        <f>IF(B92="","",COUNT($B$3:B92))</f>
        <v/>
      </c>
      <c r="B92" s="5" t="n"/>
      <c r="C92" s="6" t="n"/>
      <c r="D92" s="6" t="n"/>
      <c r="E92" s="6" t="n"/>
      <c r="F92" s="6" t="n"/>
      <c r="G92" s="7" t="n"/>
      <c r="H92" s="7" t="n"/>
      <c r="I92" s="7" t="n"/>
      <c r="J92" s="7" t="n"/>
      <c r="K92" s="8">
        <f>IF(OR(G92="",H92="",J92=""),"",IF(F92="LONG",(J92-G92)/(G92-H92),(G92-J92)/(H92-G92)))</f>
        <v/>
      </c>
      <c r="L92" s="9" t="n"/>
      <c r="M92" s="8">
        <f>IF(OR(K92="",L92=""),"",K92*L92)</f>
        <v/>
      </c>
      <c r="N92" s="6" t="n"/>
      <c r="O92" s="10">
        <f>IF(M92="","",IF(ROW()=3,M92,N(O91)+M92))</f>
        <v/>
      </c>
      <c r="P92" s="10">
        <f>IF(O92="","",IF(ROW()=3,MAX(0,O92),MAX(N(P91),O92)))</f>
        <v/>
      </c>
      <c r="Q92" s="10">
        <f>IF(O92="","",P92-O92)</f>
        <v/>
      </c>
      <c r="R92" s="11">
        <f>IF(K92="","",IF(K92&lt;0,IF(ROW()=3,1,N(R91)+1),0))</f>
        <v/>
      </c>
    </row>
    <row r="93">
      <c r="A93" s="4">
        <f>IF(B93="","",COUNT($B$3:B93))</f>
        <v/>
      </c>
      <c r="B93" s="5" t="n"/>
      <c r="C93" s="6" t="n"/>
      <c r="D93" s="6" t="n"/>
      <c r="E93" s="6" t="n"/>
      <c r="F93" s="6" t="n"/>
      <c r="G93" s="7" t="n"/>
      <c r="H93" s="7" t="n"/>
      <c r="I93" s="7" t="n"/>
      <c r="J93" s="7" t="n"/>
      <c r="K93" s="8">
        <f>IF(OR(G93="",H93="",J93=""),"",IF(F93="LONG",(J93-G93)/(G93-H93),(G93-J93)/(H93-G93)))</f>
        <v/>
      </c>
      <c r="L93" s="9" t="n"/>
      <c r="M93" s="8">
        <f>IF(OR(K93="",L93=""),"",K93*L93)</f>
        <v/>
      </c>
      <c r="N93" s="6" t="n"/>
      <c r="O93" s="10">
        <f>IF(M93="","",IF(ROW()=3,M93,N(O92)+M93))</f>
        <v/>
      </c>
      <c r="P93" s="10">
        <f>IF(O93="","",IF(ROW()=3,MAX(0,O93),MAX(N(P92),O93)))</f>
        <v/>
      </c>
      <c r="Q93" s="10">
        <f>IF(O93="","",P93-O93)</f>
        <v/>
      </c>
      <c r="R93" s="11">
        <f>IF(K93="","",IF(K93&lt;0,IF(ROW()=3,1,N(R92)+1),0))</f>
        <v/>
      </c>
    </row>
    <row r="94">
      <c r="A94" s="4">
        <f>IF(B94="","",COUNT($B$3:B94))</f>
        <v/>
      </c>
      <c r="B94" s="5" t="n"/>
      <c r="C94" s="6" t="n"/>
      <c r="D94" s="6" t="n"/>
      <c r="E94" s="6" t="n"/>
      <c r="F94" s="6" t="n"/>
      <c r="G94" s="7" t="n"/>
      <c r="H94" s="7" t="n"/>
      <c r="I94" s="7" t="n"/>
      <c r="J94" s="7" t="n"/>
      <c r="K94" s="8">
        <f>IF(OR(G94="",H94="",J94=""),"",IF(F94="LONG",(J94-G94)/(G94-H94),(G94-J94)/(H94-G94)))</f>
        <v/>
      </c>
      <c r="L94" s="9" t="n"/>
      <c r="M94" s="8">
        <f>IF(OR(K94="",L94=""),"",K94*L94)</f>
        <v/>
      </c>
      <c r="N94" s="6" t="n"/>
      <c r="O94" s="10">
        <f>IF(M94="","",IF(ROW()=3,M94,N(O93)+M94))</f>
        <v/>
      </c>
      <c r="P94" s="10">
        <f>IF(O94="","",IF(ROW()=3,MAX(0,O94),MAX(N(P93),O94)))</f>
        <v/>
      </c>
      <c r="Q94" s="10">
        <f>IF(O94="","",P94-O94)</f>
        <v/>
      </c>
      <c r="R94" s="11">
        <f>IF(K94="","",IF(K94&lt;0,IF(ROW()=3,1,N(R93)+1),0))</f>
        <v/>
      </c>
    </row>
    <row r="95">
      <c r="A95" s="4">
        <f>IF(B95="","",COUNT($B$3:B95))</f>
        <v/>
      </c>
      <c r="B95" s="5" t="n"/>
      <c r="C95" s="6" t="n"/>
      <c r="D95" s="6" t="n"/>
      <c r="E95" s="6" t="n"/>
      <c r="F95" s="6" t="n"/>
      <c r="G95" s="7" t="n"/>
      <c r="H95" s="7" t="n"/>
      <c r="I95" s="7" t="n"/>
      <c r="J95" s="7" t="n"/>
      <c r="K95" s="8">
        <f>IF(OR(G95="",H95="",J95=""),"",IF(F95="LONG",(J95-G95)/(G95-H95),(G95-J95)/(H95-G95)))</f>
        <v/>
      </c>
      <c r="L95" s="9" t="n"/>
      <c r="M95" s="8">
        <f>IF(OR(K95="",L95=""),"",K95*L95)</f>
        <v/>
      </c>
      <c r="N95" s="6" t="n"/>
      <c r="O95" s="10">
        <f>IF(M95="","",IF(ROW()=3,M95,N(O94)+M95))</f>
        <v/>
      </c>
      <c r="P95" s="10">
        <f>IF(O95="","",IF(ROW()=3,MAX(0,O95),MAX(N(P94),O95)))</f>
        <v/>
      </c>
      <c r="Q95" s="10">
        <f>IF(O95="","",P95-O95)</f>
        <v/>
      </c>
      <c r="R95" s="11">
        <f>IF(K95="","",IF(K95&lt;0,IF(ROW()=3,1,N(R94)+1),0))</f>
        <v/>
      </c>
    </row>
    <row r="96">
      <c r="A96" s="4">
        <f>IF(B96="","",COUNT($B$3:B96))</f>
        <v/>
      </c>
      <c r="B96" s="5" t="n"/>
      <c r="C96" s="6" t="n"/>
      <c r="D96" s="6" t="n"/>
      <c r="E96" s="6" t="n"/>
      <c r="F96" s="6" t="n"/>
      <c r="G96" s="7" t="n"/>
      <c r="H96" s="7" t="n"/>
      <c r="I96" s="7" t="n"/>
      <c r="J96" s="7" t="n"/>
      <c r="K96" s="8">
        <f>IF(OR(G96="",H96="",J96=""),"",IF(F96="LONG",(J96-G96)/(G96-H96),(G96-J96)/(H96-G96)))</f>
        <v/>
      </c>
      <c r="L96" s="9" t="n"/>
      <c r="M96" s="8">
        <f>IF(OR(K96="",L96=""),"",K96*L96)</f>
        <v/>
      </c>
      <c r="N96" s="6" t="n"/>
      <c r="O96" s="10">
        <f>IF(M96="","",IF(ROW()=3,M96,N(O95)+M96))</f>
        <v/>
      </c>
      <c r="P96" s="10">
        <f>IF(O96="","",IF(ROW()=3,MAX(0,O96),MAX(N(P95),O96)))</f>
        <v/>
      </c>
      <c r="Q96" s="10">
        <f>IF(O96="","",P96-O96)</f>
        <v/>
      </c>
      <c r="R96" s="11">
        <f>IF(K96="","",IF(K96&lt;0,IF(ROW()=3,1,N(R95)+1),0))</f>
        <v/>
      </c>
    </row>
    <row r="97">
      <c r="A97" s="4">
        <f>IF(B97="","",COUNT($B$3:B97))</f>
        <v/>
      </c>
      <c r="B97" s="5" t="n"/>
      <c r="C97" s="6" t="n"/>
      <c r="D97" s="6" t="n"/>
      <c r="E97" s="6" t="n"/>
      <c r="F97" s="6" t="n"/>
      <c r="G97" s="7" t="n"/>
      <c r="H97" s="7" t="n"/>
      <c r="I97" s="7" t="n"/>
      <c r="J97" s="7" t="n"/>
      <c r="K97" s="8">
        <f>IF(OR(G97="",H97="",J97=""),"",IF(F97="LONG",(J97-G97)/(G97-H97),(G97-J97)/(H97-G97)))</f>
        <v/>
      </c>
      <c r="L97" s="9" t="n"/>
      <c r="M97" s="8">
        <f>IF(OR(K97="",L97=""),"",K97*L97)</f>
        <v/>
      </c>
      <c r="N97" s="6" t="n"/>
      <c r="O97" s="10">
        <f>IF(M97="","",IF(ROW()=3,M97,N(O96)+M97))</f>
        <v/>
      </c>
      <c r="P97" s="10">
        <f>IF(O97="","",IF(ROW()=3,MAX(0,O97),MAX(N(P96),O97)))</f>
        <v/>
      </c>
      <c r="Q97" s="10">
        <f>IF(O97="","",P97-O97)</f>
        <v/>
      </c>
      <c r="R97" s="11">
        <f>IF(K97="","",IF(K97&lt;0,IF(ROW()=3,1,N(R96)+1),0))</f>
        <v/>
      </c>
    </row>
    <row r="98">
      <c r="A98" s="4">
        <f>IF(B98="","",COUNT($B$3:B98))</f>
        <v/>
      </c>
      <c r="B98" s="5" t="n"/>
      <c r="C98" s="6" t="n"/>
      <c r="D98" s="6" t="n"/>
      <c r="E98" s="6" t="n"/>
      <c r="F98" s="6" t="n"/>
      <c r="G98" s="7" t="n"/>
      <c r="H98" s="7" t="n"/>
      <c r="I98" s="7" t="n"/>
      <c r="J98" s="7" t="n"/>
      <c r="K98" s="8">
        <f>IF(OR(G98="",H98="",J98=""),"",IF(F98="LONG",(J98-G98)/(G98-H98),(G98-J98)/(H98-G98)))</f>
        <v/>
      </c>
      <c r="L98" s="9" t="n"/>
      <c r="M98" s="8">
        <f>IF(OR(K98="",L98=""),"",K98*L98)</f>
        <v/>
      </c>
      <c r="N98" s="6" t="n"/>
      <c r="O98" s="10">
        <f>IF(M98="","",IF(ROW()=3,M98,N(O97)+M98))</f>
        <v/>
      </c>
      <c r="P98" s="10">
        <f>IF(O98="","",IF(ROW()=3,MAX(0,O98),MAX(N(P97),O98)))</f>
        <v/>
      </c>
      <c r="Q98" s="10">
        <f>IF(O98="","",P98-O98)</f>
        <v/>
      </c>
      <c r="R98" s="11">
        <f>IF(K98="","",IF(K98&lt;0,IF(ROW()=3,1,N(R97)+1),0))</f>
        <v/>
      </c>
    </row>
    <row r="99">
      <c r="A99" s="4">
        <f>IF(B99="","",COUNT($B$3:B99))</f>
        <v/>
      </c>
      <c r="B99" s="5" t="n"/>
      <c r="C99" s="6" t="n"/>
      <c r="D99" s="6" t="n"/>
      <c r="E99" s="6" t="n"/>
      <c r="F99" s="6" t="n"/>
      <c r="G99" s="7" t="n"/>
      <c r="H99" s="7" t="n"/>
      <c r="I99" s="7" t="n"/>
      <c r="J99" s="7" t="n"/>
      <c r="K99" s="8">
        <f>IF(OR(G99="",H99="",J99=""),"",IF(F99="LONG",(J99-G99)/(G99-H99),(G99-J99)/(H99-G99)))</f>
        <v/>
      </c>
      <c r="L99" s="9" t="n"/>
      <c r="M99" s="8">
        <f>IF(OR(K99="",L99=""),"",K99*L99)</f>
        <v/>
      </c>
      <c r="N99" s="6" t="n"/>
      <c r="O99" s="10">
        <f>IF(M99="","",IF(ROW()=3,M99,N(O98)+M99))</f>
        <v/>
      </c>
      <c r="P99" s="10">
        <f>IF(O99="","",IF(ROW()=3,MAX(0,O99),MAX(N(P98),O99)))</f>
        <v/>
      </c>
      <c r="Q99" s="10">
        <f>IF(O99="","",P99-O99)</f>
        <v/>
      </c>
      <c r="R99" s="11">
        <f>IF(K99="","",IF(K99&lt;0,IF(ROW()=3,1,N(R98)+1),0))</f>
        <v/>
      </c>
    </row>
    <row r="100">
      <c r="A100" s="4">
        <f>IF(B100="","",COUNT($B$3:B100))</f>
        <v/>
      </c>
      <c r="B100" s="5" t="n"/>
      <c r="C100" s="6" t="n"/>
      <c r="D100" s="6" t="n"/>
      <c r="E100" s="6" t="n"/>
      <c r="F100" s="6" t="n"/>
      <c r="G100" s="7" t="n"/>
      <c r="H100" s="7" t="n"/>
      <c r="I100" s="7" t="n"/>
      <c r="J100" s="7" t="n"/>
      <c r="K100" s="8">
        <f>IF(OR(G100="",H100="",J100=""),"",IF(F100="LONG",(J100-G100)/(G100-H100),(G100-J100)/(H100-G100)))</f>
        <v/>
      </c>
      <c r="L100" s="9" t="n"/>
      <c r="M100" s="8">
        <f>IF(OR(K100="",L100=""),"",K100*L100)</f>
        <v/>
      </c>
      <c r="N100" s="6" t="n"/>
      <c r="O100" s="10">
        <f>IF(M100="","",IF(ROW()=3,M100,N(O99)+M100))</f>
        <v/>
      </c>
      <c r="P100" s="10">
        <f>IF(O100="","",IF(ROW()=3,MAX(0,O100),MAX(N(P99),O100)))</f>
        <v/>
      </c>
      <c r="Q100" s="10">
        <f>IF(O100="","",P100-O100)</f>
        <v/>
      </c>
      <c r="R100" s="11">
        <f>IF(K100="","",IF(K100&lt;0,IF(ROW()=3,1,N(R99)+1),0))</f>
        <v/>
      </c>
    </row>
    <row r="101">
      <c r="A101" s="4">
        <f>IF(B101="","",COUNT($B$3:B101))</f>
        <v/>
      </c>
      <c r="B101" s="5" t="n"/>
      <c r="C101" s="6" t="n"/>
      <c r="D101" s="6" t="n"/>
      <c r="E101" s="6" t="n"/>
      <c r="F101" s="6" t="n"/>
      <c r="G101" s="7" t="n"/>
      <c r="H101" s="7" t="n"/>
      <c r="I101" s="7" t="n"/>
      <c r="J101" s="7" t="n"/>
      <c r="K101" s="8">
        <f>IF(OR(G101="",H101="",J101=""),"",IF(F101="LONG",(J101-G101)/(G101-H101),(G101-J101)/(H101-G101)))</f>
        <v/>
      </c>
      <c r="L101" s="9" t="n"/>
      <c r="M101" s="8">
        <f>IF(OR(K101="",L101=""),"",K101*L101)</f>
        <v/>
      </c>
      <c r="N101" s="6" t="n"/>
      <c r="O101" s="10">
        <f>IF(M101="","",IF(ROW()=3,M101,N(O100)+M101))</f>
        <v/>
      </c>
      <c r="P101" s="10">
        <f>IF(O101="","",IF(ROW()=3,MAX(0,O101),MAX(N(P100),O101)))</f>
        <v/>
      </c>
      <c r="Q101" s="10">
        <f>IF(O101="","",P101-O101)</f>
        <v/>
      </c>
      <c r="R101" s="11">
        <f>IF(K101="","",IF(K101&lt;0,IF(ROW()=3,1,N(R100)+1),0))</f>
        <v/>
      </c>
    </row>
    <row r="102">
      <c r="A102" s="4">
        <f>IF(B102="","",COUNT($B$3:B102))</f>
        <v/>
      </c>
      <c r="B102" s="5" t="n"/>
      <c r="C102" s="6" t="n"/>
      <c r="D102" s="6" t="n"/>
      <c r="E102" s="6" t="n"/>
      <c r="F102" s="6" t="n"/>
      <c r="G102" s="7" t="n"/>
      <c r="H102" s="7" t="n"/>
      <c r="I102" s="7" t="n"/>
      <c r="J102" s="7" t="n"/>
      <c r="K102" s="8">
        <f>IF(OR(G102="",H102="",J102=""),"",IF(F102="LONG",(J102-G102)/(G102-H102),(G102-J102)/(H102-G102)))</f>
        <v/>
      </c>
      <c r="L102" s="9" t="n"/>
      <c r="M102" s="8">
        <f>IF(OR(K102="",L102=""),"",K102*L102)</f>
        <v/>
      </c>
      <c r="N102" s="6" t="n"/>
      <c r="O102" s="10">
        <f>IF(M102="","",IF(ROW()=3,M102,N(O101)+M102))</f>
        <v/>
      </c>
      <c r="P102" s="10">
        <f>IF(O102="","",IF(ROW()=3,MAX(0,O102),MAX(N(P101),O102)))</f>
        <v/>
      </c>
      <c r="Q102" s="10">
        <f>IF(O102="","",P102-O102)</f>
        <v/>
      </c>
      <c r="R102" s="11">
        <f>IF(K102="","",IF(K102&lt;0,IF(ROW()=3,1,N(R101)+1),0))</f>
        <v/>
      </c>
    </row>
    <row r="103">
      <c r="A103" s="4">
        <f>IF(B103="","",COUNT($B$3:B103))</f>
        <v/>
      </c>
      <c r="B103" s="5" t="n"/>
      <c r="C103" s="6" t="n"/>
      <c r="D103" s="6" t="n"/>
      <c r="E103" s="6" t="n"/>
      <c r="F103" s="6" t="n"/>
      <c r="G103" s="7" t="n"/>
      <c r="H103" s="7" t="n"/>
      <c r="I103" s="7" t="n"/>
      <c r="J103" s="7" t="n"/>
      <c r="K103" s="8">
        <f>IF(OR(G103="",H103="",J103=""),"",IF(F103="LONG",(J103-G103)/(G103-H103),(G103-J103)/(H103-G103)))</f>
        <v/>
      </c>
      <c r="L103" s="9" t="n"/>
      <c r="M103" s="8">
        <f>IF(OR(K103="",L103=""),"",K103*L103)</f>
        <v/>
      </c>
      <c r="N103" s="6" t="n"/>
      <c r="O103" s="10">
        <f>IF(M103="","",IF(ROW()=3,M103,N(O102)+M103))</f>
        <v/>
      </c>
      <c r="P103" s="10">
        <f>IF(O103="","",IF(ROW()=3,MAX(0,O103),MAX(N(P102),O103)))</f>
        <v/>
      </c>
      <c r="Q103" s="10">
        <f>IF(O103="","",P103-O103)</f>
        <v/>
      </c>
      <c r="R103" s="11">
        <f>IF(K103="","",IF(K103&lt;0,IF(ROW()=3,1,N(R102)+1),0))</f>
        <v/>
      </c>
    </row>
    <row r="104">
      <c r="A104" s="4">
        <f>IF(B104="","",COUNT($B$3:B104))</f>
        <v/>
      </c>
      <c r="B104" s="5" t="n"/>
      <c r="C104" s="6" t="n"/>
      <c r="D104" s="6" t="n"/>
      <c r="E104" s="6" t="n"/>
      <c r="F104" s="6" t="n"/>
      <c r="G104" s="7" t="n"/>
      <c r="H104" s="7" t="n"/>
      <c r="I104" s="7" t="n"/>
      <c r="J104" s="7" t="n"/>
      <c r="K104" s="8">
        <f>IF(OR(G104="",H104="",J104=""),"",IF(F104="LONG",(J104-G104)/(G104-H104),(G104-J104)/(H104-G104)))</f>
        <v/>
      </c>
      <c r="L104" s="9" t="n"/>
      <c r="M104" s="8">
        <f>IF(OR(K104="",L104=""),"",K104*L104)</f>
        <v/>
      </c>
      <c r="N104" s="6" t="n"/>
      <c r="O104" s="10">
        <f>IF(M104="","",IF(ROW()=3,M104,N(O103)+M104))</f>
        <v/>
      </c>
      <c r="P104" s="10">
        <f>IF(O104="","",IF(ROW()=3,MAX(0,O104),MAX(N(P103),O104)))</f>
        <v/>
      </c>
      <c r="Q104" s="10">
        <f>IF(O104="","",P104-O104)</f>
        <v/>
      </c>
      <c r="R104" s="11">
        <f>IF(K104="","",IF(K104&lt;0,IF(ROW()=3,1,N(R103)+1),0))</f>
        <v/>
      </c>
    </row>
    <row r="105">
      <c r="A105" s="4">
        <f>IF(B105="","",COUNT($B$3:B105))</f>
        <v/>
      </c>
      <c r="B105" s="5" t="n"/>
      <c r="C105" s="6" t="n"/>
      <c r="D105" s="6" t="n"/>
      <c r="E105" s="6" t="n"/>
      <c r="F105" s="6" t="n"/>
      <c r="G105" s="7" t="n"/>
      <c r="H105" s="7" t="n"/>
      <c r="I105" s="7" t="n"/>
      <c r="J105" s="7" t="n"/>
      <c r="K105" s="8">
        <f>IF(OR(G105="",H105="",J105=""),"",IF(F105="LONG",(J105-G105)/(G105-H105),(G105-J105)/(H105-G105)))</f>
        <v/>
      </c>
      <c r="L105" s="9" t="n"/>
      <c r="M105" s="8">
        <f>IF(OR(K105="",L105=""),"",K105*L105)</f>
        <v/>
      </c>
      <c r="N105" s="6" t="n"/>
      <c r="O105" s="10">
        <f>IF(M105="","",IF(ROW()=3,M105,N(O104)+M105))</f>
        <v/>
      </c>
      <c r="P105" s="10">
        <f>IF(O105="","",IF(ROW()=3,MAX(0,O105),MAX(N(P104),O105)))</f>
        <v/>
      </c>
      <c r="Q105" s="10">
        <f>IF(O105="","",P105-O105)</f>
        <v/>
      </c>
      <c r="R105" s="11">
        <f>IF(K105="","",IF(K105&lt;0,IF(ROW()=3,1,N(R104)+1),0))</f>
        <v/>
      </c>
    </row>
    <row r="106">
      <c r="A106" s="4">
        <f>IF(B106="","",COUNT($B$3:B106))</f>
        <v/>
      </c>
      <c r="B106" s="5" t="n"/>
      <c r="C106" s="6" t="n"/>
      <c r="D106" s="6" t="n"/>
      <c r="E106" s="6" t="n"/>
      <c r="F106" s="6" t="n"/>
      <c r="G106" s="7" t="n"/>
      <c r="H106" s="7" t="n"/>
      <c r="I106" s="7" t="n"/>
      <c r="J106" s="7" t="n"/>
      <c r="K106" s="8">
        <f>IF(OR(G106="",H106="",J106=""),"",IF(F106="LONG",(J106-G106)/(G106-H106),(G106-J106)/(H106-G106)))</f>
        <v/>
      </c>
      <c r="L106" s="9" t="n"/>
      <c r="M106" s="8">
        <f>IF(OR(K106="",L106=""),"",K106*L106)</f>
        <v/>
      </c>
      <c r="N106" s="6" t="n"/>
      <c r="O106" s="10">
        <f>IF(M106="","",IF(ROW()=3,M106,N(O105)+M106))</f>
        <v/>
      </c>
      <c r="P106" s="10">
        <f>IF(O106="","",IF(ROW()=3,MAX(0,O106),MAX(N(P105),O106)))</f>
        <v/>
      </c>
      <c r="Q106" s="10">
        <f>IF(O106="","",P106-O106)</f>
        <v/>
      </c>
      <c r="R106" s="11">
        <f>IF(K106="","",IF(K106&lt;0,IF(ROW()=3,1,N(R105)+1),0))</f>
        <v/>
      </c>
    </row>
    <row r="107">
      <c r="A107" s="4">
        <f>IF(B107="","",COUNT($B$3:B107))</f>
        <v/>
      </c>
      <c r="B107" s="5" t="n"/>
      <c r="C107" s="6" t="n"/>
      <c r="D107" s="6" t="n"/>
      <c r="E107" s="6" t="n"/>
      <c r="F107" s="6" t="n"/>
      <c r="G107" s="7" t="n"/>
      <c r="H107" s="7" t="n"/>
      <c r="I107" s="7" t="n"/>
      <c r="J107" s="7" t="n"/>
      <c r="K107" s="8">
        <f>IF(OR(G107="",H107="",J107=""),"",IF(F107="LONG",(J107-G107)/(G107-H107),(G107-J107)/(H107-G107)))</f>
        <v/>
      </c>
      <c r="L107" s="9" t="n"/>
      <c r="M107" s="8">
        <f>IF(OR(K107="",L107=""),"",K107*L107)</f>
        <v/>
      </c>
      <c r="N107" s="6" t="n"/>
      <c r="O107" s="10">
        <f>IF(M107="","",IF(ROW()=3,M107,N(O106)+M107))</f>
        <v/>
      </c>
      <c r="P107" s="10">
        <f>IF(O107="","",IF(ROW()=3,MAX(0,O107),MAX(N(P106),O107)))</f>
        <v/>
      </c>
      <c r="Q107" s="10">
        <f>IF(O107="","",P107-O107)</f>
        <v/>
      </c>
      <c r="R107" s="11">
        <f>IF(K107="","",IF(K107&lt;0,IF(ROW()=3,1,N(R106)+1),0))</f>
        <v/>
      </c>
    </row>
    <row r="108">
      <c r="A108" s="4">
        <f>IF(B108="","",COUNT($B$3:B108))</f>
        <v/>
      </c>
      <c r="B108" s="5" t="n"/>
      <c r="C108" s="6" t="n"/>
      <c r="D108" s="6" t="n"/>
      <c r="E108" s="6" t="n"/>
      <c r="F108" s="6" t="n"/>
      <c r="G108" s="7" t="n"/>
      <c r="H108" s="7" t="n"/>
      <c r="I108" s="7" t="n"/>
      <c r="J108" s="7" t="n"/>
      <c r="K108" s="8">
        <f>IF(OR(G108="",H108="",J108=""),"",IF(F108="LONG",(J108-G108)/(G108-H108),(G108-J108)/(H108-G108)))</f>
        <v/>
      </c>
      <c r="L108" s="9" t="n"/>
      <c r="M108" s="8">
        <f>IF(OR(K108="",L108=""),"",K108*L108)</f>
        <v/>
      </c>
      <c r="N108" s="6" t="n"/>
      <c r="O108" s="10">
        <f>IF(M108="","",IF(ROW()=3,M108,N(O107)+M108))</f>
        <v/>
      </c>
      <c r="P108" s="10">
        <f>IF(O108="","",IF(ROW()=3,MAX(0,O108),MAX(N(P107),O108)))</f>
        <v/>
      </c>
      <c r="Q108" s="10">
        <f>IF(O108="","",P108-O108)</f>
        <v/>
      </c>
      <c r="R108" s="11">
        <f>IF(K108="","",IF(K108&lt;0,IF(ROW()=3,1,N(R107)+1),0))</f>
        <v/>
      </c>
    </row>
    <row r="109">
      <c r="A109" s="4">
        <f>IF(B109="","",COUNT($B$3:B109))</f>
        <v/>
      </c>
      <c r="B109" s="5" t="n"/>
      <c r="C109" s="6" t="n"/>
      <c r="D109" s="6" t="n"/>
      <c r="E109" s="6" t="n"/>
      <c r="F109" s="6" t="n"/>
      <c r="G109" s="7" t="n"/>
      <c r="H109" s="7" t="n"/>
      <c r="I109" s="7" t="n"/>
      <c r="J109" s="7" t="n"/>
      <c r="K109" s="8">
        <f>IF(OR(G109="",H109="",J109=""),"",IF(F109="LONG",(J109-G109)/(G109-H109),(G109-J109)/(H109-G109)))</f>
        <v/>
      </c>
      <c r="L109" s="9" t="n"/>
      <c r="M109" s="8">
        <f>IF(OR(K109="",L109=""),"",K109*L109)</f>
        <v/>
      </c>
      <c r="N109" s="6" t="n"/>
      <c r="O109" s="10">
        <f>IF(M109="","",IF(ROW()=3,M109,N(O108)+M109))</f>
        <v/>
      </c>
      <c r="P109" s="10">
        <f>IF(O109="","",IF(ROW()=3,MAX(0,O109),MAX(N(P108),O109)))</f>
        <v/>
      </c>
      <c r="Q109" s="10">
        <f>IF(O109="","",P109-O109)</f>
        <v/>
      </c>
      <c r="R109" s="11">
        <f>IF(K109="","",IF(K109&lt;0,IF(ROW()=3,1,N(R108)+1),0))</f>
        <v/>
      </c>
    </row>
    <row r="110">
      <c r="A110" s="4">
        <f>IF(B110="","",COUNT($B$3:B110))</f>
        <v/>
      </c>
      <c r="B110" s="5" t="n"/>
      <c r="C110" s="6" t="n"/>
      <c r="D110" s="6" t="n"/>
      <c r="E110" s="6" t="n"/>
      <c r="F110" s="6" t="n"/>
      <c r="G110" s="7" t="n"/>
      <c r="H110" s="7" t="n"/>
      <c r="I110" s="7" t="n"/>
      <c r="J110" s="7" t="n"/>
      <c r="K110" s="8">
        <f>IF(OR(G110="",H110="",J110=""),"",IF(F110="LONG",(J110-G110)/(G110-H110),(G110-J110)/(H110-G110)))</f>
        <v/>
      </c>
      <c r="L110" s="9" t="n"/>
      <c r="M110" s="8">
        <f>IF(OR(K110="",L110=""),"",K110*L110)</f>
        <v/>
      </c>
      <c r="N110" s="6" t="n"/>
      <c r="O110" s="10">
        <f>IF(M110="","",IF(ROW()=3,M110,N(O109)+M110))</f>
        <v/>
      </c>
      <c r="P110" s="10">
        <f>IF(O110="","",IF(ROW()=3,MAX(0,O110),MAX(N(P109),O110)))</f>
        <v/>
      </c>
      <c r="Q110" s="10">
        <f>IF(O110="","",P110-O110)</f>
        <v/>
      </c>
      <c r="R110" s="11">
        <f>IF(K110="","",IF(K110&lt;0,IF(ROW()=3,1,N(R109)+1),0))</f>
        <v/>
      </c>
    </row>
    <row r="111">
      <c r="A111" s="4">
        <f>IF(B111="","",COUNT($B$3:B111))</f>
        <v/>
      </c>
      <c r="B111" s="5" t="n"/>
      <c r="C111" s="6" t="n"/>
      <c r="D111" s="6" t="n"/>
      <c r="E111" s="6" t="n"/>
      <c r="F111" s="6" t="n"/>
      <c r="G111" s="7" t="n"/>
      <c r="H111" s="7" t="n"/>
      <c r="I111" s="7" t="n"/>
      <c r="J111" s="7" t="n"/>
      <c r="K111" s="8">
        <f>IF(OR(G111="",H111="",J111=""),"",IF(F111="LONG",(J111-G111)/(G111-H111),(G111-J111)/(H111-G111)))</f>
        <v/>
      </c>
      <c r="L111" s="9" t="n"/>
      <c r="M111" s="8">
        <f>IF(OR(K111="",L111=""),"",K111*L111)</f>
        <v/>
      </c>
      <c r="N111" s="6" t="n"/>
      <c r="O111" s="10">
        <f>IF(M111="","",IF(ROW()=3,M111,N(O110)+M111))</f>
        <v/>
      </c>
      <c r="P111" s="10">
        <f>IF(O111="","",IF(ROW()=3,MAX(0,O111),MAX(N(P110),O111)))</f>
        <v/>
      </c>
      <c r="Q111" s="10">
        <f>IF(O111="","",P111-O111)</f>
        <v/>
      </c>
      <c r="R111" s="11">
        <f>IF(K111="","",IF(K111&lt;0,IF(ROW()=3,1,N(R110)+1),0))</f>
        <v/>
      </c>
    </row>
    <row r="112">
      <c r="A112" s="4">
        <f>IF(B112="","",COUNT($B$3:B112))</f>
        <v/>
      </c>
      <c r="B112" s="5" t="n"/>
      <c r="C112" s="6" t="n"/>
      <c r="D112" s="6" t="n"/>
      <c r="E112" s="6" t="n"/>
      <c r="F112" s="6" t="n"/>
      <c r="G112" s="7" t="n"/>
      <c r="H112" s="7" t="n"/>
      <c r="I112" s="7" t="n"/>
      <c r="J112" s="7" t="n"/>
      <c r="K112" s="8">
        <f>IF(OR(G112="",H112="",J112=""),"",IF(F112="LONG",(J112-G112)/(G112-H112),(G112-J112)/(H112-G112)))</f>
        <v/>
      </c>
      <c r="L112" s="9" t="n"/>
      <c r="M112" s="8">
        <f>IF(OR(K112="",L112=""),"",K112*L112)</f>
        <v/>
      </c>
      <c r="N112" s="6" t="n"/>
      <c r="O112" s="10">
        <f>IF(M112="","",IF(ROW()=3,M112,N(O111)+M112))</f>
        <v/>
      </c>
      <c r="P112" s="10">
        <f>IF(O112="","",IF(ROW()=3,MAX(0,O112),MAX(N(P111),O112)))</f>
        <v/>
      </c>
      <c r="Q112" s="10">
        <f>IF(O112="","",P112-O112)</f>
        <v/>
      </c>
      <c r="R112" s="11">
        <f>IF(K112="","",IF(K112&lt;0,IF(ROW()=3,1,N(R111)+1),0))</f>
        <v/>
      </c>
    </row>
    <row r="113">
      <c r="A113" s="4">
        <f>IF(B113="","",COUNT($B$3:B113))</f>
        <v/>
      </c>
      <c r="B113" s="5" t="n"/>
      <c r="C113" s="6" t="n"/>
      <c r="D113" s="6" t="n"/>
      <c r="E113" s="6" t="n"/>
      <c r="F113" s="6" t="n"/>
      <c r="G113" s="7" t="n"/>
      <c r="H113" s="7" t="n"/>
      <c r="I113" s="7" t="n"/>
      <c r="J113" s="7" t="n"/>
      <c r="K113" s="8">
        <f>IF(OR(G113="",H113="",J113=""),"",IF(F113="LONG",(J113-G113)/(G113-H113),(G113-J113)/(H113-G113)))</f>
        <v/>
      </c>
      <c r="L113" s="9" t="n"/>
      <c r="M113" s="8">
        <f>IF(OR(K113="",L113=""),"",K113*L113)</f>
        <v/>
      </c>
      <c r="N113" s="6" t="n"/>
      <c r="O113" s="10">
        <f>IF(M113="","",IF(ROW()=3,M113,N(O112)+M113))</f>
        <v/>
      </c>
      <c r="P113" s="10">
        <f>IF(O113="","",IF(ROW()=3,MAX(0,O113),MAX(N(P112),O113)))</f>
        <v/>
      </c>
      <c r="Q113" s="10">
        <f>IF(O113="","",P113-O113)</f>
        <v/>
      </c>
      <c r="R113" s="11">
        <f>IF(K113="","",IF(K113&lt;0,IF(ROW()=3,1,N(R112)+1),0))</f>
        <v/>
      </c>
    </row>
    <row r="114">
      <c r="A114" s="4">
        <f>IF(B114="","",COUNT($B$3:B114))</f>
        <v/>
      </c>
      <c r="B114" s="5" t="n"/>
      <c r="C114" s="6" t="n"/>
      <c r="D114" s="6" t="n"/>
      <c r="E114" s="6" t="n"/>
      <c r="F114" s="6" t="n"/>
      <c r="G114" s="7" t="n"/>
      <c r="H114" s="7" t="n"/>
      <c r="I114" s="7" t="n"/>
      <c r="J114" s="7" t="n"/>
      <c r="K114" s="8">
        <f>IF(OR(G114="",H114="",J114=""),"",IF(F114="LONG",(J114-G114)/(G114-H114),(G114-J114)/(H114-G114)))</f>
        <v/>
      </c>
      <c r="L114" s="9" t="n"/>
      <c r="M114" s="8">
        <f>IF(OR(K114="",L114=""),"",K114*L114)</f>
        <v/>
      </c>
      <c r="N114" s="6" t="n"/>
      <c r="O114" s="10">
        <f>IF(M114="","",IF(ROW()=3,M114,N(O113)+M114))</f>
        <v/>
      </c>
      <c r="P114" s="10">
        <f>IF(O114="","",IF(ROW()=3,MAX(0,O114),MAX(N(P113),O114)))</f>
        <v/>
      </c>
      <c r="Q114" s="10">
        <f>IF(O114="","",P114-O114)</f>
        <v/>
      </c>
      <c r="R114" s="11">
        <f>IF(K114="","",IF(K114&lt;0,IF(ROW()=3,1,N(R113)+1),0))</f>
        <v/>
      </c>
    </row>
    <row r="115">
      <c r="A115" s="4">
        <f>IF(B115="","",COUNT($B$3:B115))</f>
        <v/>
      </c>
      <c r="B115" s="5" t="n"/>
      <c r="C115" s="6" t="n"/>
      <c r="D115" s="6" t="n"/>
      <c r="E115" s="6" t="n"/>
      <c r="F115" s="6" t="n"/>
      <c r="G115" s="7" t="n"/>
      <c r="H115" s="7" t="n"/>
      <c r="I115" s="7" t="n"/>
      <c r="J115" s="7" t="n"/>
      <c r="K115" s="8">
        <f>IF(OR(G115="",H115="",J115=""),"",IF(F115="LONG",(J115-G115)/(G115-H115),(G115-J115)/(H115-G115)))</f>
        <v/>
      </c>
      <c r="L115" s="9" t="n"/>
      <c r="M115" s="8">
        <f>IF(OR(K115="",L115=""),"",K115*L115)</f>
        <v/>
      </c>
      <c r="N115" s="6" t="n"/>
      <c r="O115" s="10">
        <f>IF(M115="","",IF(ROW()=3,M115,N(O114)+M115))</f>
        <v/>
      </c>
      <c r="P115" s="10">
        <f>IF(O115="","",IF(ROW()=3,MAX(0,O115),MAX(N(P114),O115)))</f>
        <v/>
      </c>
      <c r="Q115" s="10">
        <f>IF(O115="","",P115-O115)</f>
        <v/>
      </c>
      <c r="R115" s="11">
        <f>IF(K115="","",IF(K115&lt;0,IF(ROW()=3,1,N(R114)+1),0))</f>
        <v/>
      </c>
    </row>
    <row r="116">
      <c r="A116" s="4">
        <f>IF(B116="","",COUNT($B$3:B116))</f>
        <v/>
      </c>
      <c r="B116" s="5" t="n"/>
      <c r="C116" s="6" t="n"/>
      <c r="D116" s="6" t="n"/>
      <c r="E116" s="6" t="n"/>
      <c r="F116" s="6" t="n"/>
      <c r="G116" s="7" t="n"/>
      <c r="H116" s="7" t="n"/>
      <c r="I116" s="7" t="n"/>
      <c r="J116" s="7" t="n"/>
      <c r="K116" s="8">
        <f>IF(OR(G116="",H116="",J116=""),"",IF(F116="LONG",(J116-G116)/(G116-H116),(G116-J116)/(H116-G116)))</f>
        <v/>
      </c>
      <c r="L116" s="9" t="n"/>
      <c r="M116" s="8">
        <f>IF(OR(K116="",L116=""),"",K116*L116)</f>
        <v/>
      </c>
      <c r="N116" s="6" t="n"/>
      <c r="O116" s="10">
        <f>IF(M116="","",IF(ROW()=3,M116,N(O115)+M116))</f>
        <v/>
      </c>
      <c r="P116" s="10">
        <f>IF(O116="","",IF(ROW()=3,MAX(0,O116),MAX(N(P115),O116)))</f>
        <v/>
      </c>
      <c r="Q116" s="10">
        <f>IF(O116="","",P116-O116)</f>
        <v/>
      </c>
      <c r="R116" s="11">
        <f>IF(K116="","",IF(K116&lt;0,IF(ROW()=3,1,N(R115)+1),0))</f>
        <v/>
      </c>
    </row>
    <row r="117">
      <c r="A117" s="4">
        <f>IF(B117="","",COUNT($B$3:B117))</f>
        <v/>
      </c>
      <c r="B117" s="5" t="n"/>
      <c r="C117" s="6" t="n"/>
      <c r="D117" s="6" t="n"/>
      <c r="E117" s="6" t="n"/>
      <c r="F117" s="6" t="n"/>
      <c r="G117" s="7" t="n"/>
      <c r="H117" s="7" t="n"/>
      <c r="I117" s="7" t="n"/>
      <c r="J117" s="7" t="n"/>
      <c r="K117" s="8">
        <f>IF(OR(G117="",H117="",J117=""),"",IF(F117="LONG",(J117-G117)/(G117-H117),(G117-J117)/(H117-G117)))</f>
        <v/>
      </c>
      <c r="L117" s="9" t="n"/>
      <c r="M117" s="8">
        <f>IF(OR(K117="",L117=""),"",K117*L117)</f>
        <v/>
      </c>
      <c r="N117" s="6" t="n"/>
      <c r="O117" s="10">
        <f>IF(M117="","",IF(ROW()=3,M117,N(O116)+M117))</f>
        <v/>
      </c>
      <c r="P117" s="10">
        <f>IF(O117="","",IF(ROW()=3,MAX(0,O117),MAX(N(P116),O117)))</f>
        <v/>
      </c>
      <c r="Q117" s="10">
        <f>IF(O117="","",P117-O117)</f>
        <v/>
      </c>
      <c r="R117" s="11">
        <f>IF(K117="","",IF(K117&lt;0,IF(ROW()=3,1,N(R116)+1),0))</f>
        <v/>
      </c>
    </row>
    <row r="118">
      <c r="A118" s="4">
        <f>IF(B118="","",COUNT($B$3:B118))</f>
        <v/>
      </c>
      <c r="B118" s="5" t="n"/>
      <c r="C118" s="6" t="n"/>
      <c r="D118" s="6" t="n"/>
      <c r="E118" s="6" t="n"/>
      <c r="F118" s="6" t="n"/>
      <c r="G118" s="7" t="n"/>
      <c r="H118" s="7" t="n"/>
      <c r="I118" s="7" t="n"/>
      <c r="J118" s="7" t="n"/>
      <c r="K118" s="8">
        <f>IF(OR(G118="",H118="",J118=""),"",IF(F118="LONG",(J118-G118)/(G118-H118),(G118-J118)/(H118-G118)))</f>
        <v/>
      </c>
      <c r="L118" s="9" t="n"/>
      <c r="M118" s="8">
        <f>IF(OR(K118="",L118=""),"",K118*L118)</f>
        <v/>
      </c>
      <c r="N118" s="6" t="n"/>
      <c r="O118" s="10">
        <f>IF(M118="","",IF(ROW()=3,M118,N(O117)+M118))</f>
        <v/>
      </c>
      <c r="P118" s="10">
        <f>IF(O118="","",IF(ROW()=3,MAX(0,O118),MAX(N(P117),O118)))</f>
        <v/>
      </c>
      <c r="Q118" s="10">
        <f>IF(O118="","",P118-O118)</f>
        <v/>
      </c>
      <c r="R118" s="11">
        <f>IF(K118="","",IF(K118&lt;0,IF(ROW()=3,1,N(R117)+1),0))</f>
        <v/>
      </c>
    </row>
    <row r="119">
      <c r="A119" s="4">
        <f>IF(B119="","",COUNT($B$3:B119))</f>
        <v/>
      </c>
      <c r="B119" s="5" t="n"/>
      <c r="C119" s="6" t="n"/>
      <c r="D119" s="6" t="n"/>
      <c r="E119" s="6" t="n"/>
      <c r="F119" s="6" t="n"/>
      <c r="G119" s="7" t="n"/>
      <c r="H119" s="7" t="n"/>
      <c r="I119" s="7" t="n"/>
      <c r="J119" s="7" t="n"/>
      <c r="K119" s="8">
        <f>IF(OR(G119="",H119="",J119=""),"",IF(F119="LONG",(J119-G119)/(G119-H119),(G119-J119)/(H119-G119)))</f>
        <v/>
      </c>
      <c r="L119" s="9" t="n"/>
      <c r="M119" s="8">
        <f>IF(OR(K119="",L119=""),"",K119*L119)</f>
        <v/>
      </c>
      <c r="N119" s="6" t="n"/>
      <c r="O119" s="10">
        <f>IF(M119="","",IF(ROW()=3,M119,N(O118)+M119))</f>
        <v/>
      </c>
      <c r="P119" s="10">
        <f>IF(O119="","",IF(ROW()=3,MAX(0,O119),MAX(N(P118),O119)))</f>
        <v/>
      </c>
      <c r="Q119" s="10">
        <f>IF(O119="","",P119-O119)</f>
        <v/>
      </c>
      <c r="R119" s="11">
        <f>IF(K119="","",IF(K119&lt;0,IF(ROW()=3,1,N(R118)+1),0))</f>
        <v/>
      </c>
    </row>
    <row r="120">
      <c r="A120" s="4">
        <f>IF(B120="","",COUNT($B$3:B120))</f>
        <v/>
      </c>
      <c r="B120" s="5" t="n"/>
      <c r="C120" s="6" t="n"/>
      <c r="D120" s="6" t="n"/>
      <c r="E120" s="6" t="n"/>
      <c r="F120" s="6" t="n"/>
      <c r="G120" s="7" t="n"/>
      <c r="H120" s="7" t="n"/>
      <c r="I120" s="7" t="n"/>
      <c r="J120" s="7" t="n"/>
      <c r="K120" s="8">
        <f>IF(OR(G120="",H120="",J120=""),"",IF(F120="LONG",(J120-G120)/(G120-H120),(G120-J120)/(H120-G120)))</f>
        <v/>
      </c>
      <c r="L120" s="9" t="n"/>
      <c r="M120" s="8">
        <f>IF(OR(K120="",L120=""),"",K120*L120)</f>
        <v/>
      </c>
      <c r="N120" s="6" t="n"/>
      <c r="O120" s="10">
        <f>IF(M120="","",IF(ROW()=3,M120,N(O119)+M120))</f>
        <v/>
      </c>
      <c r="P120" s="10">
        <f>IF(O120="","",IF(ROW()=3,MAX(0,O120),MAX(N(P119),O120)))</f>
        <v/>
      </c>
      <c r="Q120" s="10">
        <f>IF(O120="","",P120-O120)</f>
        <v/>
      </c>
      <c r="R120" s="11">
        <f>IF(K120="","",IF(K120&lt;0,IF(ROW()=3,1,N(R119)+1),0))</f>
        <v/>
      </c>
    </row>
    <row r="121">
      <c r="A121" s="4">
        <f>IF(B121="","",COUNT($B$3:B121))</f>
        <v/>
      </c>
      <c r="B121" s="5" t="n"/>
      <c r="C121" s="6" t="n"/>
      <c r="D121" s="6" t="n"/>
      <c r="E121" s="6" t="n"/>
      <c r="F121" s="6" t="n"/>
      <c r="G121" s="7" t="n"/>
      <c r="H121" s="7" t="n"/>
      <c r="I121" s="7" t="n"/>
      <c r="J121" s="7" t="n"/>
      <c r="K121" s="8">
        <f>IF(OR(G121="",H121="",J121=""),"",IF(F121="LONG",(J121-G121)/(G121-H121),(G121-J121)/(H121-G121)))</f>
        <v/>
      </c>
      <c r="L121" s="9" t="n"/>
      <c r="M121" s="8">
        <f>IF(OR(K121="",L121=""),"",K121*L121)</f>
        <v/>
      </c>
      <c r="N121" s="6" t="n"/>
      <c r="O121" s="10">
        <f>IF(M121="","",IF(ROW()=3,M121,N(O120)+M121))</f>
        <v/>
      </c>
      <c r="P121" s="10">
        <f>IF(O121="","",IF(ROW()=3,MAX(0,O121),MAX(N(P120),O121)))</f>
        <v/>
      </c>
      <c r="Q121" s="10">
        <f>IF(O121="","",P121-O121)</f>
        <v/>
      </c>
      <c r="R121" s="11">
        <f>IF(K121="","",IF(K121&lt;0,IF(ROW()=3,1,N(R120)+1),0))</f>
        <v/>
      </c>
    </row>
    <row r="122">
      <c r="A122" s="4">
        <f>IF(B122="","",COUNT($B$3:B122))</f>
        <v/>
      </c>
      <c r="B122" s="5" t="n"/>
      <c r="C122" s="6" t="n"/>
      <c r="D122" s="6" t="n"/>
      <c r="E122" s="6" t="n"/>
      <c r="F122" s="6" t="n"/>
      <c r="G122" s="7" t="n"/>
      <c r="H122" s="7" t="n"/>
      <c r="I122" s="7" t="n"/>
      <c r="J122" s="7" t="n"/>
      <c r="K122" s="8">
        <f>IF(OR(G122="",H122="",J122=""),"",IF(F122="LONG",(J122-G122)/(G122-H122),(G122-J122)/(H122-G122)))</f>
        <v/>
      </c>
      <c r="L122" s="9" t="n"/>
      <c r="M122" s="8">
        <f>IF(OR(K122="",L122=""),"",K122*L122)</f>
        <v/>
      </c>
      <c r="N122" s="6" t="n"/>
      <c r="O122" s="10">
        <f>IF(M122="","",IF(ROW()=3,M122,N(O121)+M122))</f>
        <v/>
      </c>
      <c r="P122" s="10">
        <f>IF(O122="","",IF(ROW()=3,MAX(0,O122),MAX(N(P121),O122)))</f>
        <v/>
      </c>
      <c r="Q122" s="10">
        <f>IF(O122="","",P122-O122)</f>
        <v/>
      </c>
      <c r="R122" s="11">
        <f>IF(K122="","",IF(K122&lt;0,IF(ROW()=3,1,N(R121)+1),0))</f>
        <v/>
      </c>
    </row>
  </sheetData>
  <mergeCells count="1">
    <mergeCell ref="A1:N1"/>
  </mergeCells>
  <conditionalFormatting sqref="K3:K122">
    <cfRule type="cellIs" priority="1" operator="greaterThan" dxfId="0">
      <formula>0</formula>
    </cfRule>
    <cfRule type="cellIs" priority="2" operator="lessThan" dxfId="1">
      <formula>0</formula>
    </cfRule>
  </conditionalFormatting>
  <dataValidations count="3">
    <dataValidation sqref="F3:F122" showDropDown="0" showInputMessage="0" showErrorMessage="0" allowBlank="1" type="list">
      <formula1>"LONG,SHORT"</formula1>
    </dataValidation>
    <dataValidation sqref="E3:E122" showDropDown="0" showInputMessage="0" showErrorMessage="0" allowBlank="1" type="list">
      <formula1>"M30,H1,H4,D"</formula1>
    </dataValidation>
    <dataValidation sqref="D3:D122" showDropDown="0" showInputMessage="0" showErrorMessage="0" allowBlank="1" type="list">
      <formula1>"EURUSD,XAUUSD,GBPUSD,US500"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46" customWidth="1" min="4" max="4"/>
  </cols>
  <sheetData>
    <row r="1">
      <c r="A1" s="1" t="inlineStr">
        <is>
          <t>AVTOMATIK STATISTIKA</t>
        </is>
      </c>
    </row>
    <row r="2">
      <c r="A2" s="12" t="inlineStr">
        <is>
          <t>ASOSIY</t>
        </is>
      </c>
    </row>
    <row r="3">
      <c r="A3" s="13" t="inlineStr">
        <is>
          <t>Jami savdo</t>
        </is>
      </c>
      <c r="B3" s="14">
        <f>COUNT(Savdolar!$K$3:$K$122)</f>
        <v/>
      </c>
      <c r="D3" s="15" t="inlineStr">
        <is>
          <t>Yozilgan savdolar soni</t>
        </is>
      </c>
    </row>
    <row r="4">
      <c r="A4" s="13" t="inlineStr">
        <is>
          <t>Yutuq</t>
        </is>
      </c>
      <c r="B4" s="14">
        <f>COUNTIF(Savdolar!$K$3:$K$122,"&gt;0")</f>
        <v/>
      </c>
      <c r="D4" s="15" t="inlineStr"/>
    </row>
    <row r="5">
      <c r="A5" s="13" t="inlineStr">
        <is>
          <t>Zarar</t>
        </is>
      </c>
      <c r="B5" s="14">
        <f>COUNTIF(Savdolar!$K$3:$K$122,"&lt;0")</f>
        <v/>
      </c>
      <c r="D5" s="15" t="inlineStr"/>
    </row>
    <row r="6">
      <c r="A6" s="13" t="inlineStr">
        <is>
          <t>Breakeven</t>
        </is>
      </c>
      <c r="B6" s="14">
        <f>COUNTIF(Savdolar!$K$3:$K$122,"=0")</f>
        <v/>
      </c>
      <c r="D6" s="15" t="inlineStr"/>
    </row>
    <row r="7">
      <c r="A7" s="13" t="inlineStr">
        <is>
          <t>Win rate</t>
        </is>
      </c>
      <c r="B7" s="16">
        <f>IF(B3=0,"",B4/B3)</f>
        <v/>
      </c>
      <c r="D7" s="15" t="inlineStr">
        <is>
          <t>Backtest: 72.7%</t>
        </is>
      </c>
    </row>
    <row r="9">
      <c r="A9" s="12" t="inlineStr">
        <is>
          <t>FOYDA</t>
        </is>
      </c>
    </row>
    <row r="10">
      <c r="A10" s="13" t="inlineStr">
        <is>
          <t>Gross profit ($)</t>
        </is>
      </c>
      <c r="B10" s="8">
        <f>SUMIF(Savdolar!$K$3:$K$122,"&gt;0",Savdolar!$M$3:$M$122)</f>
        <v/>
      </c>
      <c r="D10" s="15" t="inlineStr"/>
    </row>
    <row r="11">
      <c r="A11" s="13" t="inlineStr">
        <is>
          <t>Gross loss ($)</t>
        </is>
      </c>
      <c r="B11" s="8">
        <f>ABS(SUMIF(Savdolar!$K$3:$K$122,"&lt;0",Savdolar!$M$3:$M$122))</f>
        <v/>
      </c>
      <c r="D11" s="15" t="inlineStr"/>
    </row>
    <row r="12">
      <c r="A12" s="13" t="inlineStr">
        <is>
          <t>Net profit ($)</t>
        </is>
      </c>
      <c r="B12" s="8">
        <f>B10-B11</f>
        <v/>
      </c>
      <c r="D12" s="15" t="inlineStr"/>
    </row>
    <row r="13">
      <c r="A13" s="13" t="inlineStr">
        <is>
          <t>Profit factor</t>
        </is>
      </c>
      <c r="B13" s="17">
        <f>IF(B11=0,"",B10/B11)</f>
        <v/>
      </c>
      <c r="D13" s="15" t="inlineStr">
        <is>
          <t>Backtest: 4.51  |  Mezon: &gt;1.5</t>
        </is>
      </c>
    </row>
    <row r="15">
      <c r="A15" s="12" t="inlineStr">
        <is>
          <t>R BO'YICHA</t>
        </is>
      </c>
    </row>
    <row r="16">
      <c r="A16" s="13" t="inlineStr">
        <is>
          <t>Jami R</t>
        </is>
      </c>
      <c r="B16" s="8">
        <f>SUM(Savdolar!$K$3:$K$122)</f>
        <v/>
      </c>
      <c r="D16" s="15" t="inlineStr"/>
    </row>
    <row r="17">
      <c r="A17" s="13" t="inlineStr">
        <is>
          <t>Expectancy (R)</t>
        </is>
      </c>
      <c r="B17" s="17">
        <f>IF(B3=0,"",B16/B3)</f>
        <v/>
      </c>
      <c r="D17" s="15" t="inlineStr">
        <is>
          <t>Backtest: +0.683R  |  Mezon: &gt;0.2</t>
        </is>
      </c>
    </row>
    <row r="18">
      <c r="A18" s="13" t="inlineStr">
        <is>
          <t>O'rtacha yutuq (R)</t>
        </is>
      </c>
      <c r="B18" s="8">
        <f>IF(B4=0,"",SUMIF(Savdolar!$K$3:$K$122,"&gt;0")/B4)</f>
        <v/>
      </c>
      <c r="D18" s="15" t="inlineStr"/>
    </row>
    <row r="19">
      <c r="A19" s="13" t="inlineStr">
        <is>
          <t>O'rtacha zarar (R)</t>
        </is>
      </c>
      <c r="B19" s="8">
        <f>IF(B5=0,"",ABS(SUMIF(Savdolar!$K$3:$K$122,"&lt;0"))/B5)</f>
        <v/>
      </c>
      <c r="D19" s="15" t="inlineStr"/>
    </row>
    <row r="20">
      <c r="A20" s="13" t="inlineStr">
        <is>
          <t>avg_win/avg_loss</t>
        </is>
      </c>
      <c r="B20" s="8">
        <f>IF(B19=0,"",B18/B19)</f>
        <v/>
      </c>
      <c r="D20" s="15" t="inlineStr">
        <is>
          <t>Backtest: 1.31</t>
        </is>
      </c>
    </row>
    <row r="21">
      <c r="A21" s="13" t="inlineStr">
        <is>
          <t>Break-even WR</t>
        </is>
      </c>
      <c r="B21" s="16">
        <f>IF(B20="","",1/(1+B20))</f>
        <v/>
      </c>
      <c r="D21" s="15" t="inlineStr">
        <is>
          <t>Shundan yuqori bo'lishi kerak</t>
        </is>
      </c>
    </row>
    <row r="23">
      <c r="A23" s="12" t="inlineStr">
        <is>
          <t>RISK</t>
        </is>
      </c>
    </row>
    <row r="24">
      <c r="A24" s="13" t="inlineStr">
        <is>
          <t>Eng uzun zarar seriya</t>
        </is>
      </c>
      <c r="B24" s="18">
        <f>IF(B3=0,"",MAX(Savdolar!$R$3:$R$122))</f>
        <v/>
      </c>
      <c r="D24" s="15" t="inlineStr">
        <is>
          <t>8 ta bo'lsa TO'XTATING</t>
        </is>
      </c>
    </row>
    <row r="25">
      <c r="A25" s="13" t="inlineStr">
        <is>
          <t>Max drawdown ($)</t>
        </is>
      </c>
      <c r="B25" s="8">
        <f>IF(B3=0,"",MAX(Savdolar!$Q$3:$Q$122))</f>
        <v/>
      </c>
      <c r="D25" s="15" t="inlineStr">
        <is>
          <t>Avtomatik hisoblanadi</t>
        </is>
      </c>
    </row>
    <row r="26">
      <c r="A26" s="13" t="inlineStr">
        <is>
          <t>Max DD (% balansdan)</t>
        </is>
      </c>
      <c r="B26" s="16">
        <f>IF(OR(B25="",B25=0),"",B25/(B25+B12))</f>
        <v/>
      </c>
      <c r="D26" s="15" t="inlineStr">
        <is>
          <t>Mezon: &lt;20%</t>
        </is>
      </c>
    </row>
    <row r="27">
      <c r="A27" s="13" t="inlineStr">
        <is>
          <t>Recovery factor</t>
        </is>
      </c>
      <c r="B27" s="8">
        <f>IF(OR(B25="",B25=0),"",B12/B25)</f>
        <v/>
      </c>
      <c r="D27" s="15" t="inlineStr">
        <is>
          <t>Net / MaxDD  |  Mezon: &gt;2</t>
        </is>
      </c>
    </row>
  </sheetData>
  <mergeCells count="5">
    <mergeCell ref="A1:D1"/>
    <mergeCell ref="A23:D23"/>
    <mergeCell ref="A9:D9"/>
    <mergeCell ref="A15:D15"/>
    <mergeCell ref="A2:D2"/>
  </mergeCells>
  <conditionalFormatting sqref="B13">
    <cfRule type="cellIs" priority="1" operator="greaterThan" dxfId="0">
      <formula>1.5</formula>
    </cfRule>
    <cfRule type="cellIs" priority="2" operator="lessThan" dxfId="1">
      <formula>1.0</formula>
    </cfRule>
  </conditionalFormatting>
  <conditionalFormatting sqref="B17">
    <cfRule type="cellIs" priority="3" operator="greaterThan" dxfId="0">
      <formula>0.2</formula>
    </cfRule>
    <cfRule type="cellIs" priority="4" operator="lessThan" dxfId="1">
      <formula>0</formula>
    </cfRule>
  </conditionalFormatting>
  <conditionalFormatting sqref="B7">
    <cfRule type="cellIs" priority="5" operator="lessThan" dxfId="2">
      <formula>0.5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44" customWidth="1" min="5" max="5"/>
  </cols>
  <sheetData>
    <row r="1">
      <c r="A1" s="1" t="inlineStr">
        <is>
          <t>BACKTEST  vs  DEMO — QAROR MEZONLARI</t>
        </is>
      </c>
    </row>
    <row r="3">
      <c r="A3" s="19" t="inlineStr">
        <is>
          <t>Ko'rsatkich</t>
        </is>
      </c>
      <c r="B3" s="19" t="inlineStr">
        <is>
          <t>Backtest</t>
        </is>
      </c>
      <c r="C3" s="19" t="inlineStr">
        <is>
          <t>Demo</t>
        </is>
      </c>
      <c r="D3" s="19" t="inlineStr">
        <is>
          <t>Holat</t>
        </is>
      </c>
      <c r="E3" s="19" t="inlineStr">
        <is>
          <t>Izoh</t>
        </is>
      </c>
    </row>
    <row r="4">
      <c r="A4" s="13" t="inlineStr">
        <is>
          <t>Savdolar soni</t>
        </is>
      </c>
      <c r="B4" s="20" t="n">
        <v>33</v>
      </c>
      <c r="C4" s="17">
        <f>Statistika!B3</f>
        <v/>
      </c>
      <c r="D4" s="4">
        <f>IF(C4="","",IF(C4&gt;=30,"OK","kutish"))</f>
        <v/>
      </c>
      <c r="E4" s="15" t="inlineStr">
        <is>
          <t>30 tadan kam bo'lsa xulosa erta</t>
        </is>
      </c>
    </row>
    <row r="5">
      <c r="A5" s="13" t="inlineStr">
        <is>
          <t>Win rate</t>
        </is>
      </c>
      <c r="B5" s="21" t="n">
        <v>0.7272999999999999</v>
      </c>
      <c r="C5" s="16">
        <f>Statistika!B7</f>
        <v/>
      </c>
      <c r="D5" s="4">
        <f>IF(C5="","",IF(C5&gt;=0.55,"OK","past"))</f>
        <v/>
      </c>
      <c r="E5" s="15" t="inlineStr">
        <is>
          <t>CI: 57.5% - 87.9%</t>
        </is>
      </c>
    </row>
    <row r="6">
      <c r="A6" s="13" t="inlineStr">
        <is>
          <t>Profit factor</t>
        </is>
      </c>
      <c r="B6" s="20" t="n">
        <v>4.506</v>
      </c>
      <c r="C6" s="17">
        <f>Statistika!B13</f>
        <v/>
      </c>
      <c r="D6" s="4">
        <f>IF(C6="","",IF(C6&gt;=1.5,"OK","past"))</f>
        <v/>
      </c>
      <c r="E6" s="15" t="inlineStr">
        <is>
          <t>Mezon: &gt;1.5</t>
        </is>
      </c>
    </row>
    <row r="7">
      <c r="A7" s="13" t="inlineStr">
        <is>
          <t>Expectancy (R)</t>
        </is>
      </c>
      <c r="B7" s="20" t="n">
        <v>0.6830000000000001</v>
      </c>
      <c r="C7" s="17">
        <f>Statistika!B17</f>
        <v/>
      </c>
      <c r="D7" s="4">
        <f>IF(C7="","",IF(C7&gt;=0.2,"OK","past"))</f>
        <v/>
      </c>
      <c r="E7" s="15" t="inlineStr">
        <is>
          <t>Mezon: &gt;0.2R</t>
        </is>
      </c>
    </row>
    <row r="8">
      <c r="A8" s="13" t="inlineStr">
        <is>
          <t>avg_win/avg_loss</t>
        </is>
      </c>
      <c r="B8" s="20" t="n">
        <v>1.31</v>
      </c>
      <c r="C8" s="17">
        <f>Statistika!B20</f>
        <v/>
      </c>
      <c r="D8" s="4">
        <f>IF(C8="","",IF(C8&gt;=1.0,"OK","past"))</f>
        <v/>
      </c>
      <c r="E8" s="15" t="inlineStr"/>
    </row>
    <row r="9">
      <c r="A9" s="13" t="inlineStr">
        <is>
          <t>Max DD %</t>
        </is>
      </c>
      <c r="B9" s="21" t="n">
        <v>0.0461</v>
      </c>
      <c r="C9" s="16">
        <f>Statistika!B26</f>
        <v/>
      </c>
      <c r="D9" s="4">
        <f>IF(C9="","",IF(C9&lt;=0.2,"OK","YUQORI"))</f>
        <v/>
      </c>
      <c r="E9" s="15" t="inlineStr">
        <is>
          <t>Mezon: &lt;20%</t>
        </is>
      </c>
    </row>
    <row r="10">
      <c r="A10" s="13" t="inlineStr">
        <is>
          <t>Recovery factor</t>
        </is>
      </c>
      <c r="B10" s="20" t="n">
        <v>12</v>
      </c>
      <c r="C10" s="17">
        <f>Statistika!B27</f>
        <v/>
      </c>
      <c r="D10" s="4">
        <f>IF(C10="","",IF(C10&gt;=2,"OK","past"))</f>
        <v/>
      </c>
      <c r="E10" s="15" t="inlineStr">
        <is>
          <t>Mezon: &gt;2</t>
        </is>
      </c>
    </row>
    <row r="12">
      <c r="A12" s="12" t="inlineStr">
        <is>
          <t>QAROR QOIDALARI</t>
        </is>
      </c>
    </row>
    <row r="13">
      <c r="A13" s="13" t="inlineStr">
        <is>
          <t>30 savdodan keyin PF &gt; 1.5</t>
        </is>
      </c>
      <c r="B13" t="inlineStr">
        <is>
          <t>REAL PULGA O'TISH mumkin ($300-500, risk 2%)</t>
        </is>
      </c>
    </row>
    <row r="14">
      <c r="A14" s="13" t="inlineStr">
        <is>
          <t>30 savdodan keyin PF 1.0-1.5</t>
        </is>
      </c>
      <c r="B14" t="inlineStr">
        <is>
          <t>DAVOM ETISH, yana 30 savdo kutish</t>
        </is>
      </c>
    </row>
    <row r="15">
      <c r="A15" s="13" t="inlineStr">
        <is>
          <t>30 savdodan keyin PF &lt; 1.0</t>
        </is>
      </c>
      <c r="B15" t="inlineStr">
        <is>
          <t>TO'XTATISH — backtest aldagan</t>
        </is>
      </c>
    </row>
    <row r="17">
      <c r="A17" s="22" t="inlineStr">
        <is>
          <t>DARHOL TO'XTATISH SHARTLARI</t>
        </is>
      </c>
    </row>
    <row r="18">
      <c r="A18" s="13" t="inlineStr">
        <is>
          <t>Real DD &gt; 25%</t>
        </is>
      </c>
      <c r="B18" t="inlineStr">
        <is>
          <t>Backtest chegarasidan oshdi</t>
        </is>
      </c>
    </row>
    <row r="19">
      <c r="A19" s="13" t="inlineStr">
        <is>
          <t>Ketma-ket 8 zarar</t>
        </is>
      </c>
      <c r="B19" t="inlineStr">
        <is>
          <t>WR 72% da ehtimoli 0.003% — model buzilgan</t>
        </is>
      </c>
    </row>
    <row r="20">
      <c r="A20" s="13" t="inlineStr">
        <is>
          <t>3 oy signal yo'q</t>
        </is>
      </c>
      <c r="B20" t="inlineStr">
        <is>
          <t>Bozor rejimi o'zgargan</t>
        </is>
      </c>
    </row>
  </sheetData>
  <mergeCells count="9">
    <mergeCell ref="A12:E12"/>
    <mergeCell ref="B18:E18"/>
    <mergeCell ref="B13:E13"/>
    <mergeCell ref="B15:E15"/>
    <mergeCell ref="A1:E1"/>
    <mergeCell ref="B19:E19"/>
    <mergeCell ref="B20:E20"/>
    <mergeCell ref="A17:E17"/>
    <mergeCell ref="B14:E14"/>
  </mergeCells>
  <conditionalFormatting sqref="D4">
    <cfRule type="cellIs" priority="1" operator="equal" dxfId="0">
      <formula>"OK"</formula>
    </cfRule>
    <cfRule type="cellIs" priority="2" operator="notEqual" dxfId="1">
      <formula>"OK"</formula>
    </cfRule>
  </conditionalFormatting>
  <conditionalFormatting sqref="D5">
    <cfRule type="cellIs" priority="3" operator="equal" dxfId="0">
      <formula>"OK"</formula>
    </cfRule>
    <cfRule type="cellIs" priority="4" operator="notEqual" dxfId="1">
      <formula>"OK"</formula>
    </cfRule>
  </conditionalFormatting>
  <conditionalFormatting sqref="D6">
    <cfRule type="cellIs" priority="5" operator="equal" dxfId="0">
      <formula>"OK"</formula>
    </cfRule>
    <cfRule type="cellIs" priority="6" operator="notEqual" dxfId="1">
      <formula>"OK"</formula>
    </cfRule>
  </conditionalFormatting>
  <conditionalFormatting sqref="D7">
    <cfRule type="cellIs" priority="7" operator="equal" dxfId="0">
      <formula>"OK"</formula>
    </cfRule>
    <cfRule type="cellIs" priority="8" operator="notEqual" dxfId="1">
      <formula>"OK"</formula>
    </cfRule>
  </conditionalFormatting>
  <conditionalFormatting sqref="D8">
    <cfRule type="cellIs" priority="9" operator="equal" dxfId="0">
      <formula>"OK"</formula>
    </cfRule>
    <cfRule type="cellIs" priority="10" operator="notEqual" dxfId="1">
      <formula>"OK"</formula>
    </cfRule>
  </conditionalFormatting>
  <conditionalFormatting sqref="D9">
    <cfRule type="cellIs" priority="11" operator="equal" dxfId="0">
      <formula>"OK"</formula>
    </cfRule>
    <cfRule type="cellIs" priority="12" operator="notEqual" dxfId="1">
      <formula>"OK"</formula>
    </cfRule>
  </conditionalFormatting>
  <conditionalFormatting sqref="D10">
    <cfRule type="cellIs" priority="13" operator="equal" dxfId="0">
      <formula>"OK"</formula>
    </cfRule>
    <cfRule type="cellIs" priority="14" operator="notEqual" dxfId="1">
      <formula>"OK"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QANDAY ISHLATISH</t>
        </is>
      </c>
    </row>
    <row r="2">
      <c r="A2" s="23" t="inlineStr"/>
    </row>
    <row r="3">
      <c r="A3" s="24" t="inlineStr">
        <is>
          <t>1) HAR SAVDODAN KEYIN 'Savdolar' varag'iga yozing:</t>
        </is>
      </c>
    </row>
    <row r="4">
      <c r="A4" s="23" t="inlineStr">
        <is>
          <t xml:space="preserve">     Sana, Vaqt, Aktiv, TF, Yo'nalish (LONG/SHORT)</t>
        </is>
      </c>
    </row>
    <row r="5">
      <c r="A5" s="23" t="inlineStr">
        <is>
          <t xml:space="preserve">     Kirish narxi, SL, TP, Chiqish narxi</t>
        </is>
      </c>
    </row>
    <row r="6">
      <c r="A6" s="23" t="inlineStr">
        <is>
          <t xml:space="preserve">     Risk $ (masalan 2% dan $500 = $10)</t>
        </is>
      </c>
    </row>
    <row r="7">
      <c r="A7" s="23" t="inlineStr">
        <is>
          <t xml:space="preserve">     Izoh — nima bo'lgani (yangilik, spred kengaygan, to'siq bor edi...)</t>
        </is>
      </c>
    </row>
    <row r="8">
      <c r="A8" s="23" t="inlineStr"/>
    </row>
    <row r="9">
      <c r="A9" s="24" t="inlineStr">
        <is>
          <t>2) 'Natija (R)' va 'Foyda $' AVTOMATIK hisoblanadi — teginmang.</t>
        </is>
      </c>
    </row>
    <row r="10">
      <c r="A10" s="23" t="inlineStr">
        <is>
          <t xml:space="preserve">     Sariq katakchalar = siz kiritasiz</t>
        </is>
      </c>
    </row>
    <row r="11">
      <c r="A11" s="23" t="inlineStr">
        <is>
          <t xml:space="preserve">     Ko'k katakchalar   = formula, o'zi hisoblaydi</t>
        </is>
      </c>
    </row>
    <row r="12">
      <c r="A12" s="23" t="inlineStr"/>
    </row>
    <row r="13">
      <c r="A13" s="24" t="inlineStr">
        <is>
          <t>3) 'Statistika' varag'i o'zi yangilanadi. Har hafta qarab turing.</t>
        </is>
      </c>
    </row>
    <row r="14">
      <c r="A14" s="23" t="inlineStr"/>
    </row>
    <row r="15">
      <c r="A15" s="24" t="inlineStr">
        <is>
          <t>4) 30 savdodan keyin 'Taqqoslash' varag'iga qarang.</t>
        </is>
      </c>
    </row>
    <row r="16">
      <c r="A16" s="23" t="inlineStr">
        <is>
          <t xml:space="preserve">     Hamma qator OK bo'lsa — real pulga o'tish mumkin.</t>
        </is>
      </c>
    </row>
    <row r="17">
      <c r="A17" s="23" t="inlineStr"/>
    </row>
    <row r="18">
      <c r="A18" s="24" t="inlineStr">
        <is>
          <t>MUHIM: har savdoni yozing — YUTUQNI HAM, ZARARNI HAM.</t>
        </is>
      </c>
    </row>
    <row r="19">
      <c r="A19" s="23" t="inlineStr">
        <is>
          <t>Faqat yutuqni yozish — o'zini aldash. Statistika buziladi.</t>
        </is>
      </c>
    </row>
    <row r="20">
      <c r="A20" s="23" t="inlineStr"/>
    </row>
    <row r="21">
      <c r="A21" s="24" t="inlineStr">
        <is>
          <t>IZOH USTUNI ENG QIMMATLI. 30 savdodan keyin uni o'qib chiqing —</t>
        </is>
      </c>
    </row>
    <row r="22">
      <c r="A22" s="23" t="inlineStr">
        <is>
          <t>takrorlanadigan naqsh topasiz (masalan 'yangilik paytida hamma savdo zarar').</t>
        </is>
      </c>
    </row>
    <row r="23">
      <c r="A23" s="23" t="inlineStr"/>
    </row>
    <row r="24">
      <c r="A24" s="24" t="inlineStr">
        <is>
          <t>YAKUNIY SOZLAMA (TradingView):</t>
        </is>
      </c>
    </row>
    <row r="25">
      <c r="A25" s="23" t="inlineStr">
        <is>
          <t xml:space="preserve">     Aktiv: EURUSD, TF: M30</t>
        </is>
      </c>
    </row>
    <row r="26">
      <c r="A26" s="23" t="inlineStr">
        <is>
          <t xml:space="preserve">     Pivot: 5,  Kirish: 4-OTE 0.5-0.618</t>
        </is>
      </c>
    </row>
    <row r="27">
      <c r="A27" s="23" t="inlineStr">
        <is>
          <t xml:space="preserve">     TP1: 1.618, yopish 100%</t>
        </is>
      </c>
    </row>
    <row r="28">
      <c r="A28" s="23" t="inlineStr">
        <is>
          <t xml:space="preserve">     Realistik xarajat: ON, pip avtomatik: ON</t>
        </is>
      </c>
    </row>
    <row r="29">
      <c r="A29" s="23" t="inlineStr">
        <is>
          <t xml:space="preserve">     Radar: OFF,  Risk: 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2026-09-06T06:12:36Z</dcterms:created>
  <dcterms:modified xsi:type="dcterms:W3CDTF">2026-09-06T06:12:36Z</dcterms:modified>
</cp:coreProperties>
</file>